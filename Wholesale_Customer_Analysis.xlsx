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B\EXCELCNV\53114205-01f3-487a-a88a-803e711055d1\"/>
    </mc:Choice>
  </mc:AlternateContent>
  <xr:revisionPtr revIDLastSave="0" documentId="8_{2A90A5E6-361F-4014-AD1A-0EC5C3157CDE}" xr6:coauthVersionLast="47" xr6:coauthVersionMax="47" xr10:uidLastSave="{00000000-0000-0000-0000-000000000000}"/>
  <bookViews>
    <workbookView xWindow="-60" yWindow="-60" windowWidth="15480" windowHeight="11640" firstSheet="4" activeTab="4" xr2:uid="{A6C0B931-2AC1-45CC-A60E-F1F4E7FBD29F}"/>
  </bookViews>
  <sheets>
    <sheet name="Cleaned_Data" sheetId="5" r:id="rId1"/>
    <sheet name="Cleaning_Log" sheetId="6" r:id="rId2"/>
    <sheet name="Raw_Data" sheetId="1" r:id="rId3"/>
    <sheet name="Analysis" sheetId="3" r:id="rId4"/>
    <sheet name="Dashboard" sheetId="4" r:id="rId5"/>
  </sheets>
  <definedNames>
    <definedName name="_xlnm._FilterDatabase" localSheetId="0" hidden="1">Cleaned_Data!$D$1:$H$441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E4" i="4"/>
  <c r="C4" i="4"/>
  <c r="A4" i="4"/>
  <c r="C25" i="3"/>
  <c r="C24" i="3"/>
  <c r="C23" i="3"/>
  <c r="C22" i="3"/>
  <c r="C21" i="3"/>
  <c r="C20" i="3"/>
  <c r="B25" i="3"/>
  <c r="B24" i="3"/>
  <c r="B23" i="3"/>
  <c r="B22" i="3"/>
  <c r="B21" i="3"/>
  <c r="B20" i="3"/>
  <c r="D15" i="3"/>
  <c r="D16" i="3"/>
  <c r="C15" i="3"/>
  <c r="C16" i="3"/>
  <c r="B16" i="3"/>
  <c r="B15" i="3"/>
  <c r="D14" i="3"/>
  <c r="C14" i="3"/>
  <c r="B14" i="3"/>
  <c r="C5" i="3"/>
  <c r="H3" i="3"/>
  <c r="H2" i="3"/>
  <c r="G3" i="3"/>
  <c r="G2" i="3"/>
  <c r="F3" i="3"/>
  <c r="F2" i="3"/>
  <c r="B10" i="3"/>
  <c r="B9" i="3"/>
  <c r="C7" i="3"/>
  <c r="C6" i="3"/>
  <c r="C4" i="3"/>
  <c r="C3" i="3"/>
  <c r="C2" i="3"/>
  <c r="B7" i="3"/>
  <c r="B6" i="3"/>
  <c r="B5" i="3"/>
  <c r="B4" i="3"/>
  <c r="B3" i="3"/>
  <c r="B2" i="3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3" i="5"/>
  <c r="J4" i="5"/>
  <c r="J5" i="5"/>
  <c r="J6" i="5"/>
  <c r="J7" i="5"/>
  <c r="J8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2" i="5"/>
  <c r="K2" i="5"/>
  <c r="J2" i="5"/>
  <c r="R31" i="5"/>
  <c r="R30" i="5"/>
  <c r="R29" i="5"/>
  <c r="R26" i="5"/>
  <c r="R25" i="5"/>
  <c r="R24" i="5"/>
  <c r="R21" i="5"/>
  <c r="R20" i="5"/>
  <c r="R19" i="5"/>
  <c r="R16" i="5"/>
  <c r="R15" i="5"/>
  <c r="R14" i="5"/>
  <c r="R11" i="5"/>
  <c r="R10" i="5"/>
  <c r="R9" i="5"/>
  <c r="O9" i="5"/>
  <c r="R4" i="5"/>
  <c r="R6" i="5"/>
  <c r="R5" i="5"/>
  <c r="O11" i="5"/>
  <c r="O10" i="5"/>
  <c r="O8" i="5"/>
  <c r="O7" i="5"/>
  <c r="O6" i="5"/>
  <c r="O5" i="5"/>
  <c r="O4" i="5"/>
</calcChain>
</file>

<file path=xl/sharedStrings.xml><?xml version="1.0" encoding="utf-8"?>
<sst xmlns="http://schemas.openxmlformats.org/spreadsheetml/2006/main" count="111" uniqueCount="65">
  <si>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</si>
  <si>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</si>
  <si>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</si>
  <si>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</si>
  <si>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</si>
  <si>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</si>
  <si>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</si>
  <si>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</si>
  <si>
    <t>Channel_Name</t>
  </si>
  <si>
    <t>Region_Name</t>
  </si>
  <si>
    <t>Total_Annual_Spending</t>
  </si>
  <si>
    <t>Cleaning And Calculations</t>
  </si>
  <si>
    <t>Blanks</t>
  </si>
  <si>
    <t>FRESH SPEND</t>
  </si>
  <si>
    <t xml:space="preserve">MIN SPEND: </t>
  </si>
  <si>
    <t>AVG SPEND:</t>
  </si>
  <si>
    <t xml:space="preserve">MAX SPEND: </t>
  </si>
  <si>
    <t>MILK SPEND</t>
  </si>
  <si>
    <t>GROCERY SPEND</t>
  </si>
  <si>
    <t>FROZEN SPEND</t>
  </si>
  <si>
    <t>DETERGENTS_PAPER</t>
  </si>
  <si>
    <t>DELICASSAN</t>
  </si>
  <si>
    <t>Cleaning Check</t>
  </si>
  <si>
    <t>Method</t>
  </si>
  <si>
    <t>Result</t>
  </si>
  <si>
    <t>Column headers</t>
  </si>
  <si>
    <t>Compared with dataset documentation</t>
  </si>
  <si>
    <t>Accurate</t>
  </si>
  <si>
    <t>Missing values</t>
  </si>
  <si>
    <t>COUNTBLANK</t>
  </si>
  <si>
    <t>None</t>
  </si>
  <si>
    <t>Duplicates</t>
  </si>
  <si>
    <t>Exact-row comparison, Conditional Formatting</t>
  </si>
  <si>
    <t>Data types</t>
  </si>
  <si>
    <t>ISNUMBER and cell formatting</t>
  </si>
  <si>
    <t xml:space="preserve">True </t>
  </si>
  <si>
    <t>Channel and Region</t>
  </si>
  <si>
    <t>Checked category codes</t>
  </si>
  <si>
    <t>Negative spending</t>
  </si>
  <si>
    <t>MIN and number filters</t>
  </si>
  <si>
    <t>Checked</t>
  </si>
  <si>
    <t>Outliers</t>
  </si>
  <si>
    <t>MAX and summary statistics</t>
  </si>
  <si>
    <t>Product_Category</t>
  </si>
  <si>
    <t>Total_Spending</t>
  </si>
  <si>
    <t>Average_Spending</t>
  </si>
  <si>
    <t>Customer_Count</t>
  </si>
  <si>
    <t>Horeca</t>
  </si>
  <si>
    <t>Retail</t>
  </si>
  <si>
    <t>Highest_Spending_Category</t>
  </si>
  <si>
    <t>Lowest_Spending_Category</t>
  </si>
  <si>
    <t>Lisbon</t>
  </si>
  <si>
    <t>Oporto</t>
  </si>
  <si>
    <t>Other</t>
  </si>
  <si>
    <t>Horeca_Average</t>
  </si>
  <si>
    <t>Retail_Average</t>
  </si>
  <si>
    <t>WHOLESALE CUSTOMER SPENDING DASHBOARD</t>
  </si>
  <si>
    <t>Total Customers</t>
  </si>
  <si>
    <t>Total Annual Spending</t>
  </si>
  <si>
    <t>Average Spending per Customer</t>
  </si>
  <si>
    <t>Highest Spending Category</t>
  </si>
  <si>
    <t>KEY INSIGHTS</t>
  </si>
  <si>
    <t>Fresh has the highest total spending across product categories.</t>
  </si>
  <si>
    <t>Retail customers have higher average spending than Horeca customers.</t>
  </si>
  <si>
    <t>The Other region has the highest average spending per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</si>
</sst>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5CAE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0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8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33" borderId="21" xfId="0" applyFont="1" applyFill="1" applyBorder="1" applyAlignment="1">
      <alignment horizontal="center"/>
    </xf>
    <xf numFmtId="0" fontId="0" fillId="33" borderId="20" xfId="0" applyFont="1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34" borderId="0" xfId="0" applyFill="1" applyBorder="1" applyAlignment="1">
      <alignment horizontal="center"/>
    </xf>
    <xf numFmtId="2" fontId="0" fillId="34" borderId="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2" fontId="0" fillId="35" borderId="13" xfId="0" applyNumberFormat="1" applyFill="1" applyBorder="1" applyAlignment="1">
      <alignment horizontal="center"/>
    </xf>
    <xf numFmtId="2" fontId="0" fillId="35" borderId="15" xfId="0" applyNumberForma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CAED"/>
      <color rgb="FFC0B1DE"/>
      <color rgb="FFE6B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Annual Spending by Product Category</a:t>
            </a:r>
          </a:p>
        </c:rich>
      </c:tx>
      <c:layout>
        <c:manualLayout>
          <c:xMode val="edge"/>
          <c:yMode val="edge"/>
          <c:x val="0.14711115349663625"/>
          <c:y val="2.6620370370370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Total_Spending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Analysis!$A$2:$A$7</c:f>
              <c:strCache>
                <c:ptCount val="6"/>
                <c:pt idx="0">
                  <c:v>Fresh</c:v>
                </c:pt>
                <c:pt idx="1">
                  <c:v>Milk</c:v>
                </c:pt>
                <c:pt idx="2">
                  <c:v>Grocery</c:v>
                </c:pt>
                <c:pt idx="3">
                  <c:v>Frozen</c:v>
                </c:pt>
                <c:pt idx="4">
                  <c:v>Detergents_Paper</c:v>
                </c:pt>
                <c:pt idx="5">
                  <c:v>Delicassen</c:v>
                </c:pt>
              </c:strCache>
            </c:strRef>
          </c:cat>
          <c:val>
            <c:numRef>
              <c:f>Analysis!$B$2:$B$7</c:f>
              <c:numCache>
                <c:formatCode>0.00</c:formatCode>
                <c:ptCount val="6"/>
                <c:pt idx="0">
                  <c:v>5280131</c:v>
                </c:pt>
                <c:pt idx="1">
                  <c:v>2550357</c:v>
                </c:pt>
                <c:pt idx="2">
                  <c:v>3498562</c:v>
                </c:pt>
                <c:pt idx="3">
                  <c:v>1351650</c:v>
                </c:pt>
                <c:pt idx="4">
                  <c:v>1267857</c:v>
                </c:pt>
                <c:pt idx="5">
                  <c:v>670943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3-44EA-BDAB-FABF2633E0B2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Average_Spending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Analysis!$A$2:$A$7</c:f>
              <c:strCache>
                <c:ptCount val="6"/>
                <c:pt idx="0">
                  <c:v>Fresh</c:v>
                </c:pt>
                <c:pt idx="1">
                  <c:v>Milk</c:v>
                </c:pt>
                <c:pt idx="2">
                  <c:v>Grocery</c:v>
                </c:pt>
                <c:pt idx="3">
                  <c:v>Frozen</c:v>
                </c:pt>
                <c:pt idx="4">
                  <c:v>Detergents_Paper</c:v>
                </c:pt>
                <c:pt idx="5">
                  <c:v>Delicassen</c:v>
                </c:pt>
              </c:strCache>
            </c:strRef>
          </c:cat>
          <c:val>
            <c:numRef>
              <c:f>Analysis!$C$2:$C$7</c:f>
              <c:numCache>
                <c:formatCode>0.00</c:formatCode>
                <c:ptCount val="6"/>
                <c:pt idx="0">
                  <c:v>12000.297727272728</c:v>
                </c:pt>
                <c:pt idx="1">
                  <c:v>5796.2659090909092</c:v>
                </c:pt>
                <c:pt idx="2">
                  <c:v>7951.2772727272732</c:v>
                </c:pt>
                <c:pt idx="3">
                  <c:v>3071.931818181818</c:v>
                </c:pt>
                <c:pt idx="4">
                  <c:v>2881.4931818181817</c:v>
                </c:pt>
                <c:pt idx="5">
                  <c:v>1524.8704545454545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C3-44EA-BDAB-FABF2633E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339720"/>
        <c:axId val="1628363272"/>
      </c:barChart>
      <c:catAx>
        <c:axId val="162833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63272"/>
        <c:crosses val="autoZero"/>
        <c:auto val="1"/>
        <c:lblAlgn val="ctr"/>
        <c:lblOffset val="100"/>
        <c:noMultiLvlLbl val="0"/>
      </c:catAx>
      <c:valAx>
        <c:axId val="16283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3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Annual Spending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Horeca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Analysis!$F$1:$H$1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Analysis!$F$2:$H$2</c:f>
              <c:numCache>
                <c:formatCode>0.00</c:formatCode>
                <c:ptCount val="3"/>
                <c:pt idx="0" formatCode="General">
                  <c:v>298</c:v>
                </c:pt>
                <c:pt idx="1">
                  <c:v>26844.191275167785</c:v>
                </c:pt>
                <c:pt idx="2">
                  <c:v>7999569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5-4DEB-B1A3-5C3F0B4D7494}"/>
            </c:ext>
          </c:extLst>
        </c:ser>
        <c:ser>
          <c:idx val="1"/>
          <c:order val="1"/>
          <c:tx>
            <c:strRef>
              <c:f>Analysis!$E$3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Analysis!$F$1:$H$1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Analysis!$F$3:$H$3</c:f>
              <c:numCache>
                <c:formatCode>0.00</c:formatCode>
                <c:ptCount val="3"/>
                <c:pt idx="0" formatCode="General">
                  <c:v>142</c:v>
                </c:pt>
                <c:pt idx="1">
                  <c:v>46619.232394366198</c:v>
                </c:pt>
                <c:pt idx="2">
                  <c:v>6619931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5-4DEB-B1A3-5C3F0B4D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94023"/>
        <c:axId val="89496071"/>
      </c:barChart>
      <c:catAx>
        <c:axId val="89494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6071"/>
        <c:crosses val="autoZero"/>
        <c:auto val="1"/>
        <c:lblAlgn val="ctr"/>
        <c:lblOffset val="100"/>
        <c:noMultiLvlLbl val="0"/>
      </c:catAx>
      <c:valAx>
        <c:axId val="8949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Annual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Annual Spending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Analysis!$A$14</c:f>
              <c:strCache>
                <c:ptCount val="1"/>
                <c:pt idx="0">
                  <c:v>Lisbon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Analysis!$B$14:$D$14</c:f>
              <c:numCache>
                <c:formatCode>0.00</c:formatCode>
                <c:ptCount val="3"/>
                <c:pt idx="0" formatCode="General">
                  <c:v>77</c:v>
                </c:pt>
                <c:pt idx="1">
                  <c:v>30997.571428571428</c:v>
                </c:pt>
                <c:pt idx="2">
                  <c:v>2386813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7-4036-BD4E-D9DD54505547}"/>
            </c:ext>
          </c:extLst>
        </c:ser>
        <c:ser>
          <c:idx val="1"/>
          <c:order val="1"/>
          <c:tx>
            <c:strRef>
              <c:f>Analysis!$A$15</c:f>
              <c:strCache>
                <c:ptCount val="1"/>
                <c:pt idx="0">
                  <c:v>Oporto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Analysis!$B$15:$D$15</c:f>
              <c:numCache>
                <c:formatCode>0.00</c:formatCode>
                <c:ptCount val="3"/>
                <c:pt idx="0" formatCode="General">
                  <c:v>47</c:v>
                </c:pt>
                <c:pt idx="1">
                  <c:v>33086.978723404252</c:v>
                </c:pt>
                <c:pt idx="2">
                  <c:v>1555088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7-4036-BD4E-D9DD54505547}"/>
            </c:ext>
          </c:extLst>
        </c:ser>
        <c:ser>
          <c:idx val="2"/>
          <c:order val="2"/>
          <c:tx>
            <c:strRef>
              <c:f>Analysis!$A$16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Analysis!$B$16:$D$16</c:f>
              <c:numCache>
                <c:formatCode>0.00</c:formatCode>
                <c:ptCount val="3"/>
                <c:pt idx="0" formatCode="General">
                  <c:v>316</c:v>
                </c:pt>
                <c:pt idx="1">
                  <c:v>33789.870253164554</c:v>
                </c:pt>
                <c:pt idx="2">
                  <c:v>10677599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A7-4036-BD4E-D9DD54505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222535"/>
        <c:axId val="1723232775"/>
      </c:barChart>
      <c:catAx>
        <c:axId val="1723222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32775"/>
        <c:crosses val="autoZero"/>
        <c:auto val="1"/>
        <c:lblAlgn val="ctr"/>
        <c:lblOffset val="100"/>
        <c:noMultiLvlLbl val="0"/>
      </c:catAx>
      <c:valAx>
        <c:axId val="172323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Annual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2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Annual Spending by Product Category</a:t>
            </a:r>
          </a:p>
        </c:rich>
      </c:tx>
      <c:layout>
        <c:manualLayout>
          <c:xMode val="edge"/>
          <c:yMode val="edge"/>
          <c:x val="0.14711115349663625"/>
          <c:y val="2.6620370370370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Total_Spending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Analysis!$A$2:$A$7</c:f>
              <c:strCache>
                <c:ptCount val="6"/>
                <c:pt idx="0">
                  <c:v>Fresh</c:v>
                </c:pt>
                <c:pt idx="1">
                  <c:v>Milk</c:v>
                </c:pt>
                <c:pt idx="2">
                  <c:v>Grocery</c:v>
                </c:pt>
                <c:pt idx="3">
                  <c:v>Frozen</c:v>
                </c:pt>
                <c:pt idx="4">
                  <c:v>Detergents_Paper</c:v>
                </c:pt>
                <c:pt idx="5">
                  <c:v>Delicassen</c:v>
                </c:pt>
              </c:strCache>
            </c:strRef>
          </c:cat>
          <c:val>
            <c:numRef>
              <c:f>Analysis!$B$2:$B$7</c:f>
              <c:numCache>
                <c:formatCode>0.00</c:formatCode>
                <c:ptCount val="6"/>
                <c:pt idx="0">
                  <c:v>5280131</c:v>
                </c:pt>
                <c:pt idx="1">
                  <c:v>2550357</c:v>
                </c:pt>
                <c:pt idx="2">
                  <c:v>3498562</c:v>
                </c:pt>
                <c:pt idx="3">
                  <c:v>1351650</c:v>
                </c:pt>
                <c:pt idx="4">
                  <c:v>1267857</c:v>
                </c:pt>
                <c:pt idx="5">
                  <c:v>670943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D-4056-BC1A-9BB5575C5CE2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Average_Spending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Analysis!$A$2:$A$7</c:f>
              <c:strCache>
                <c:ptCount val="6"/>
                <c:pt idx="0">
                  <c:v>Fresh</c:v>
                </c:pt>
                <c:pt idx="1">
                  <c:v>Milk</c:v>
                </c:pt>
                <c:pt idx="2">
                  <c:v>Grocery</c:v>
                </c:pt>
                <c:pt idx="3">
                  <c:v>Frozen</c:v>
                </c:pt>
                <c:pt idx="4">
                  <c:v>Detergents_Paper</c:v>
                </c:pt>
                <c:pt idx="5">
                  <c:v>Delicassen</c:v>
                </c:pt>
              </c:strCache>
            </c:strRef>
          </c:cat>
          <c:val>
            <c:numRef>
              <c:f>Analysis!$C$2:$C$7</c:f>
              <c:numCache>
                <c:formatCode>0.00</c:formatCode>
                <c:ptCount val="6"/>
                <c:pt idx="0">
                  <c:v>12000.297727272728</c:v>
                </c:pt>
                <c:pt idx="1">
                  <c:v>5796.2659090909092</c:v>
                </c:pt>
                <c:pt idx="2">
                  <c:v>7951.2772727272732</c:v>
                </c:pt>
                <c:pt idx="3">
                  <c:v>3071.931818181818</c:v>
                </c:pt>
                <c:pt idx="4">
                  <c:v>2881.4931818181817</c:v>
                </c:pt>
                <c:pt idx="5">
                  <c:v>1524.8704545454545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D-4056-BC1A-9BB5575C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339720"/>
        <c:axId val="1628363272"/>
      </c:barChart>
      <c:catAx>
        <c:axId val="162833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63272"/>
        <c:crosses val="autoZero"/>
        <c:auto val="1"/>
        <c:lblAlgn val="ctr"/>
        <c:lblOffset val="100"/>
        <c:noMultiLvlLbl val="0"/>
      </c:catAx>
      <c:valAx>
        <c:axId val="16283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3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Annual Spending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Horeca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Analysis!$F$1:$H$1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Analysis!$F$2:$H$2</c:f>
              <c:numCache>
                <c:formatCode>0.00</c:formatCode>
                <c:ptCount val="3"/>
                <c:pt idx="0" formatCode="General">
                  <c:v>298</c:v>
                </c:pt>
                <c:pt idx="1">
                  <c:v>26844.191275167785</c:v>
                </c:pt>
                <c:pt idx="2">
                  <c:v>7999569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D16-AE02-9C4894808040}"/>
            </c:ext>
          </c:extLst>
        </c:ser>
        <c:ser>
          <c:idx val="1"/>
          <c:order val="1"/>
          <c:tx>
            <c:strRef>
              <c:f>Analysis!$E$3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Analysis!$F$1:$H$1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Analysis!$F$3:$H$3</c:f>
              <c:numCache>
                <c:formatCode>0.00</c:formatCode>
                <c:ptCount val="3"/>
                <c:pt idx="0" formatCode="General">
                  <c:v>142</c:v>
                </c:pt>
                <c:pt idx="1">
                  <c:v>46619.232394366198</c:v>
                </c:pt>
                <c:pt idx="2">
                  <c:v>6619931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C-4D16-AE02-9C4894808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94023"/>
        <c:axId val="89496071"/>
      </c:barChart>
      <c:catAx>
        <c:axId val="89494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6071"/>
        <c:crosses val="autoZero"/>
        <c:auto val="1"/>
        <c:lblAlgn val="ctr"/>
        <c:lblOffset val="100"/>
        <c:noMultiLvlLbl val="0"/>
      </c:catAx>
      <c:valAx>
        <c:axId val="8949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Annual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Annual Spending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Analysis!$A$14</c:f>
              <c:strCache>
                <c:ptCount val="1"/>
                <c:pt idx="0">
                  <c:v>Lisbon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Analysis!$B$14:$D$14</c:f>
              <c:numCache>
                <c:formatCode>0.00</c:formatCode>
                <c:ptCount val="3"/>
                <c:pt idx="0" formatCode="General">
                  <c:v>77</c:v>
                </c:pt>
                <c:pt idx="1">
                  <c:v>30997.571428571428</c:v>
                </c:pt>
                <c:pt idx="2">
                  <c:v>2386813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3-49C2-B48F-CD1904E41ED8}"/>
            </c:ext>
          </c:extLst>
        </c:ser>
        <c:ser>
          <c:idx val="1"/>
          <c:order val="1"/>
          <c:tx>
            <c:strRef>
              <c:f>Analysis!$A$15</c:f>
              <c:strCache>
                <c:ptCount val="1"/>
                <c:pt idx="0">
                  <c:v>Oporto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Analysis!$B$15:$D$15</c:f>
              <c:numCache>
                <c:formatCode>0.00</c:formatCode>
                <c:ptCount val="3"/>
                <c:pt idx="0" formatCode="General">
                  <c:v>47</c:v>
                </c:pt>
                <c:pt idx="1">
                  <c:v>33086.978723404252</c:v>
                </c:pt>
                <c:pt idx="2">
                  <c:v>1555088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23-49C2-B48F-CD1904E41ED8}"/>
            </c:ext>
          </c:extLst>
        </c:ser>
        <c:ser>
          <c:idx val="2"/>
          <c:order val="2"/>
          <c:tx>
            <c:strRef>
              <c:f>Analysis!$A$16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Analysis!$B$13:$D$13</c:f>
              <c:strCache>
                <c:ptCount val="3"/>
                <c:pt idx="0">
                  <c:v>Customer_Count</c:v>
                </c:pt>
                <c:pt idx="1">
                  <c:v>Average_Spending</c:v>
                </c:pt>
                <c:pt idx="2">
                  <c:v>Total_Spending</c:v>
                </c:pt>
              </c:strCache>
            </c:strRef>
          </c:cat>
          <c:val>
            <c:numRef>
              <c:f>Analysis!$B$16:$D$16</c:f>
              <c:numCache>
                <c:formatCode>0.00</c:formatCode>
                <c:ptCount val="3"/>
                <c:pt idx="0" formatCode="General">
                  <c:v>316</c:v>
                </c:pt>
                <c:pt idx="1">
                  <c:v>33789.870253164554</c:v>
                </c:pt>
                <c:pt idx="2">
                  <c:v>10677599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3-49C2-B48F-CD1904E41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222535"/>
        <c:axId val="1723232775"/>
      </c:barChart>
      <c:catAx>
        <c:axId val="1723222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32775"/>
        <c:crosses val="autoZero"/>
        <c:auto val="1"/>
        <c:lblAlgn val="ctr"/>
        <c:lblOffset val="100"/>
        <c:noMultiLvlLbl val="0"/>
      </c:catAx>
      <c:valAx>
        <c:axId val="172323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Annual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2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4</xdr:row>
      <xdr:rowOff>38100</xdr:rowOff>
    </xdr:from>
    <xdr:to>
      <xdr:col>10</xdr:col>
      <xdr:colOff>342900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8F7A6F-A3EA-CC1D-3003-7BD070D7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419100</xdr:colOff>
      <xdr:row>18</xdr:row>
      <xdr:rowOff>171450</xdr:rowOff>
    </xdr:from>
    <xdr:to>
      <xdr:col>10</xdr:col>
      <xdr:colOff>342900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AB57E-0D83-9BE8-1BD7-BDE0299E67E4}"/>
            </a:ext>
            <a:ext uri="{147F2762-F138-4A5C-976F-8EAC2B608ADB}">
              <a16:predDERef xmlns:a16="http://schemas.microsoft.com/office/drawing/2014/main" pred="{0A8F7A6F-A3EA-CC1D-3003-7BD070D7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27</xdr:row>
      <xdr:rowOff>171450</xdr:rowOff>
    </xdr:from>
    <xdr:to>
      <xdr:col>3</xdr:col>
      <xdr:colOff>695325</xdr:colOff>
      <xdr:row>42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EB719B-738C-1BD4-5F11-EC212F7BB5E4}"/>
            </a:ext>
            <a:ext uri="{147F2762-F138-4A5C-976F-8EAC2B608ADB}">
              <a16:predDERef xmlns:a16="http://schemas.microsoft.com/office/drawing/2014/main" pred="{E2AAB57E-0D83-9BE8-1BD7-BDE0299E6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1524000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3597B-207F-4CA0-B6D9-009D95E15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4</xdr:col>
      <xdr:colOff>419100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BFBD9-D236-4DF9-862E-B2526998374D}"/>
            </a:ext>
            <a:ext uri="{147F2762-F138-4A5C-976F-8EAC2B608ADB}">
              <a16:predDERef xmlns:a16="http://schemas.microsoft.com/office/drawing/2014/main" pred="{E423597B-207F-4CA0-B6D9-009D95E15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428625</xdr:colOff>
      <xdr:row>21</xdr:row>
      <xdr:rowOff>0</xdr:rowOff>
    </xdr:from>
    <xdr:to>
      <xdr:col>7</xdr:col>
      <xdr:colOff>1524000</xdr:colOff>
      <xdr:row>35</xdr:row>
      <xdr:rowOff>76200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8D414A44-A19E-4688-BB86-C03C5DA4042F}"/>
            </a:ext>
            <a:ext uri="{147F2762-F138-4A5C-976F-8EAC2B608ADB}">
              <a16:predDERef xmlns:a16="http://schemas.microsoft.com/office/drawing/2014/main" pred="{C82BFBD9-D236-4DF9-862E-B25269983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259B-DB76-4738-A746-898C592C74EF}">
  <dimension ref="A1:R441"/>
  <sheetViews>
    <sheetView workbookViewId="0">
      <selection activeCell="K1" sqref="K1:K1048576"/>
    </sheetView>
  </sheetViews>
  <sheetFormatPr defaultRowHeight="15"/>
  <cols>
    <col min="3" max="3" width="10.42578125" style="1" bestFit="1" customWidth="1"/>
    <col min="4" max="6" width="9.28515625" style="1" bestFit="1" customWidth="1"/>
    <col min="7" max="7" width="17" style="1" customWidth="1"/>
    <col min="8" max="8" width="9.28515625" style="1" bestFit="1" customWidth="1"/>
    <col min="9" max="9" width="14.5703125" customWidth="1"/>
    <col min="10" max="10" width="13.7109375" customWidth="1"/>
    <col min="11" max="11" width="21.5703125" customWidth="1"/>
    <col min="13" max="14" width="11.42578125" customWidth="1"/>
  </cols>
  <sheetData>
    <row r="1" spans="1:1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8">
      <c r="A2">
        <v>2</v>
      </c>
      <c r="B2">
        <v>3</v>
      </c>
      <c r="C2" s="1">
        <v>12669</v>
      </c>
      <c r="D2" s="1">
        <v>9656</v>
      </c>
      <c r="E2" s="1">
        <v>7561</v>
      </c>
      <c r="F2" s="1">
        <v>214</v>
      </c>
      <c r="G2" s="1">
        <v>2674</v>
      </c>
      <c r="H2" s="1">
        <v>1338</v>
      </c>
      <c r="I2" t="str">
        <f>IF(A2=1,"Horeca",IF(A2=2,"Retail","Check"))</f>
        <v>Retail</v>
      </c>
      <c r="J2" t="str">
        <f>IF(B2=1,"Lisbon",IF(B2=2,"Oporto",IF(B2=3,"Other","Check")))</f>
        <v>Other</v>
      </c>
      <c r="K2" s="1">
        <f>SUM(C2:H2)</f>
        <v>34112</v>
      </c>
      <c r="O2" s="34" t="s">
        <v>11</v>
      </c>
      <c r="P2" s="34"/>
      <c r="Q2" s="34"/>
      <c r="R2" s="34"/>
    </row>
    <row r="3" spans="1:18">
      <c r="A3">
        <v>2</v>
      </c>
      <c r="B3">
        <v>3</v>
      </c>
      <c r="C3" s="1">
        <v>7057</v>
      </c>
      <c r="D3" s="1">
        <v>9810</v>
      </c>
      <c r="E3" s="1">
        <v>9568</v>
      </c>
      <c r="F3" s="1">
        <v>1762</v>
      </c>
      <c r="G3" s="1">
        <v>3293</v>
      </c>
      <c r="H3" s="1">
        <v>1776</v>
      </c>
      <c r="I3" t="str">
        <f t="shared" ref="I3:I66" si="0">IF(A3=1,"Horeca",IF(A3=2,"Retail","Check"))</f>
        <v>Retail</v>
      </c>
      <c r="J3" t="str">
        <f t="shared" ref="J3:J66" si="1">IF(B3=1,"Lisbon",IF(B3=2,"Oporto",IF(B3=3,"Other","Check")))</f>
        <v>Other</v>
      </c>
      <c r="K3" s="1">
        <f t="shared" ref="K3:K66" si="2">SUM(C3:H3)</f>
        <v>33266</v>
      </c>
      <c r="O3" t="s">
        <v>12</v>
      </c>
      <c r="Q3" s="18" t="s">
        <v>13</v>
      </c>
      <c r="R3" s="18"/>
    </row>
    <row r="4" spans="1:18">
      <c r="A4">
        <v>2</v>
      </c>
      <c r="B4">
        <v>3</v>
      </c>
      <c r="C4" s="1">
        <v>6353</v>
      </c>
      <c r="D4" s="1">
        <v>8808</v>
      </c>
      <c r="E4" s="1">
        <v>7684</v>
      </c>
      <c r="F4" s="1">
        <v>2405</v>
      </c>
      <c r="G4" s="1">
        <v>3516</v>
      </c>
      <c r="H4" s="1">
        <v>7844</v>
      </c>
      <c r="I4" t="str">
        <f t="shared" si="0"/>
        <v>Retail</v>
      </c>
      <c r="J4" t="str">
        <f t="shared" si="1"/>
        <v>Other</v>
      </c>
      <c r="K4" s="1">
        <f t="shared" si="2"/>
        <v>36610</v>
      </c>
      <c r="O4">
        <f>COUNTBLANK(A2:A441)</f>
        <v>0</v>
      </c>
      <c r="Q4" s="1" t="s">
        <v>14</v>
      </c>
      <c r="R4" s="1">
        <f>MIN(C2:C441)</f>
        <v>3</v>
      </c>
    </row>
    <row r="5" spans="1:18">
      <c r="A5">
        <v>1</v>
      </c>
      <c r="B5">
        <v>3</v>
      </c>
      <c r="C5" s="1">
        <v>13265</v>
      </c>
      <c r="D5" s="1">
        <v>1196</v>
      </c>
      <c r="E5" s="1">
        <v>4221</v>
      </c>
      <c r="F5" s="1">
        <v>6404</v>
      </c>
      <c r="G5" s="1">
        <v>507</v>
      </c>
      <c r="H5" s="1">
        <v>1788</v>
      </c>
      <c r="I5" t="str">
        <f t="shared" si="0"/>
        <v>Horeca</v>
      </c>
      <c r="J5" t="str">
        <f t="shared" si="1"/>
        <v>Other</v>
      </c>
      <c r="K5" s="1">
        <f t="shared" si="2"/>
        <v>27381</v>
      </c>
      <c r="O5">
        <f>COUNTBLANK(B2:B441)</f>
        <v>0</v>
      </c>
      <c r="Q5" t="s">
        <v>15</v>
      </c>
      <c r="R5" s="3">
        <f>AVERAGE(C2:C441)</f>
        <v>12000.297727272728</v>
      </c>
    </row>
    <row r="6" spans="1:18">
      <c r="A6">
        <v>2</v>
      </c>
      <c r="B6">
        <v>3</v>
      </c>
      <c r="C6" s="1">
        <v>22615</v>
      </c>
      <c r="D6" s="1">
        <v>5410</v>
      </c>
      <c r="E6" s="1">
        <v>7198</v>
      </c>
      <c r="F6" s="1">
        <v>3915</v>
      </c>
      <c r="G6" s="1">
        <v>1777</v>
      </c>
      <c r="H6" s="1">
        <v>5185</v>
      </c>
      <c r="I6" t="str">
        <f t="shared" si="0"/>
        <v>Retail</v>
      </c>
      <c r="J6" t="str">
        <f t="shared" si="1"/>
        <v>Other</v>
      </c>
      <c r="K6" s="1">
        <f t="shared" si="2"/>
        <v>46100</v>
      </c>
      <c r="O6">
        <f>COUNTBLANK(C2:C441)</f>
        <v>0</v>
      </c>
      <c r="Q6" t="s">
        <v>16</v>
      </c>
      <c r="R6" s="2">
        <f>MAX(C2:C440)</f>
        <v>112151</v>
      </c>
    </row>
    <row r="7" spans="1:18">
      <c r="A7">
        <v>2</v>
      </c>
      <c r="B7">
        <v>3</v>
      </c>
      <c r="C7" s="1">
        <v>9413</v>
      </c>
      <c r="D7" s="1">
        <v>8259</v>
      </c>
      <c r="E7" s="1">
        <v>5126</v>
      </c>
      <c r="F7" s="1">
        <v>666</v>
      </c>
      <c r="G7" s="1">
        <v>1795</v>
      </c>
      <c r="H7" s="1">
        <v>1451</v>
      </c>
      <c r="I7" t="str">
        <f t="shared" si="0"/>
        <v>Retail</v>
      </c>
      <c r="J7" t="str">
        <f t="shared" si="1"/>
        <v>Other</v>
      </c>
      <c r="K7" s="1">
        <f t="shared" si="2"/>
        <v>26710</v>
      </c>
      <c r="O7">
        <f>COUNTBLANK(D2:D441)</f>
        <v>0</v>
      </c>
    </row>
    <row r="8" spans="1:18">
      <c r="A8">
        <v>2</v>
      </c>
      <c r="B8">
        <v>3</v>
      </c>
      <c r="C8" s="1">
        <v>12126</v>
      </c>
      <c r="D8" s="1">
        <v>3199</v>
      </c>
      <c r="E8" s="1">
        <v>6975</v>
      </c>
      <c r="F8" s="1">
        <v>480</v>
      </c>
      <c r="G8" s="1">
        <v>3140</v>
      </c>
      <c r="H8" s="1">
        <v>545</v>
      </c>
      <c r="I8" t="str">
        <f t="shared" si="0"/>
        <v>Retail</v>
      </c>
      <c r="J8" t="str">
        <f t="shared" si="1"/>
        <v>Other</v>
      </c>
      <c r="K8" s="1">
        <f t="shared" si="2"/>
        <v>26465</v>
      </c>
      <c r="O8">
        <f>COUNTBLANK(E2:E441)</f>
        <v>0</v>
      </c>
      <c r="Q8" s="18" t="s">
        <v>17</v>
      </c>
      <c r="R8" s="18"/>
    </row>
    <row r="9" spans="1:18">
      <c r="A9">
        <v>2</v>
      </c>
      <c r="B9">
        <v>3</v>
      </c>
      <c r="C9" s="1">
        <v>7579</v>
      </c>
      <c r="D9" s="1">
        <v>4956</v>
      </c>
      <c r="E9" s="1">
        <v>9426</v>
      </c>
      <c r="F9" s="1">
        <v>1669</v>
      </c>
      <c r="G9" s="1">
        <v>3321</v>
      </c>
      <c r="H9" s="1">
        <v>2566</v>
      </c>
      <c r="I9" t="str">
        <f t="shared" si="0"/>
        <v>Retail</v>
      </c>
      <c r="J9" t="str">
        <f t="shared" si="1"/>
        <v>Other</v>
      </c>
      <c r="K9" s="1">
        <f t="shared" si="2"/>
        <v>29517</v>
      </c>
      <c r="O9">
        <f>COUNTBLANK(F2:F441)</f>
        <v>0</v>
      </c>
      <c r="Q9" t="s">
        <v>14</v>
      </c>
      <c r="R9" s="1">
        <f>MIN(D2:D441)</f>
        <v>55</v>
      </c>
    </row>
    <row r="10" spans="1:18">
      <c r="A10">
        <v>1</v>
      </c>
      <c r="B10">
        <v>3</v>
      </c>
      <c r="C10" s="1">
        <v>5963</v>
      </c>
      <c r="D10" s="1">
        <v>3648</v>
      </c>
      <c r="E10" s="1">
        <v>6192</v>
      </c>
      <c r="F10" s="1">
        <v>425</v>
      </c>
      <c r="G10" s="1">
        <v>1716</v>
      </c>
      <c r="H10" s="1">
        <v>750</v>
      </c>
      <c r="I10" t="str">
        <f t="shared" si="0"/>
        <v>Horeca</v>
      </c>
      <c r="J10" t="str">
        <f t="shared" si="1"/>
        <v>Other</v>
      </c>
      <c r="K10" s="1">
        <f t="shared" si="2"/>
        <v>18694</v>
      </c>
      <c r="O10">
        <f>COUNTBLANK(G2:G441)</f>
        <v>0</v>
      </c>
      <c r="Q10" t="s">
        <v>15</v>
      </c>
      <c r="R10" s="1">
        <f>AVERAGE(D2:D441)</f>
        <v>5796.2659090909092</v>
      </c>
    </row>
    <row r="11" spans="1:18">
      <c r="A11">
        <v>2</v>
      </c>
      <c r="B11">
        <v>3</v>
      </c>
      <c r="C11" s="1">
        <v>6006</v>
      </c>
      <c r="D11" s="1">
        <v>11093</v>
      </c>
      <c r="E11" s="1">
        <v>18881</v>
      </c>
      <c r="F11" s="1">
        <v>1159</v>
      </c>
      <c r="G11" s="1">
        <v>7425</v>
      </c>
      <c r="H11" s="1">
        <v>2098</v>
      </c>
      <c r="I11" t="str">
        <f t="shared" si="0"/>
        <v>Retail</v>
      </c>
      <c r="J11" t="str">
        <f t="shared" si="1"/>
        <v>Other</v>
      </c>
      <c r="K11" s="1">
        <f t="shared" si="2"/>
        <v>46662</v>
      </c>
      <c r="O11">
        <f>COUNTBLANK(H2:H441)</f>
        <v>0</v>
      </c>
      <c r="Q11" t="s">
        <v>16</v>
      </c>
      <c r="R11" s="1">
        <f>MAX(D2:D441)</f>
        <v>73498</v>
      </c>
    </row>
    <row r="12" spans="1:18">
      <c r="A12">
        <v>2</v>
      </c>
      <c r="B12">
        <v>3</v>
      </c>
      <c r="C12" s="1">
        <v>3366</v>
      </c>
      <c r="D12" s="1">
        <v>5403</v>
      </c>
      <c r="E12" s="1">
        <v>12974</v>
      </c>
      <c r="F12" s="1">
        <v>4400</v>
      </c>
      <c r="G12" s="1">
        <v>5977</v>
      </c>
      <c r="H12" s="1">
        <v>1744</v>
      </c>
      <c r="I12" t="str">
        <f t="shared" si="0"/>
        <v>Retail</v>
      </c>
      <c r="J12" t="str">
        <f t="shared" si="1"/>
        <v>Other</v>
      </c>
      <c r="K12" s="1">
        <f t="shared" si="2"/>
        <v>33864</v>
      </c>
    </row>
    <row r="13" spans="1:18">
      <c r="A13">
        <v>2</v>
      </c>
      <c r="B13">
        <v>3</v>
      </c>
      <c r="C13" s="1">
        <v>13146</v>
      </c>
      <c r="D13" s="1">
        <v>1124</v>
      </c>
      <c r="E13" s="1">
        <v>4523</v>
      </c>
      <c r="F13" s="1">
        <v>1420</v>
      </c>
      <c r="G13" s="1">
        <v>549</v>
      </c>
      <c r="H13" s="1">
        <v>497</v>
      </c>
      <c r="I13" t="str">
        <f t="shared" si="0"/>
        <v>Retail</v>
      </c>
      <c r="J13" t="str">
        <f t="shared" si="1"/>
        <v>Other</v>
      </c>
      <c r="K13" s="1">
        <f t="shared" si="2"/>
        <v>21259</v>
      </c>
      <c r="Q13" s="18" t="s">
        <v>18</v>
      </c>
      <c r="R13" s="18"/>
    </row>
    <row r="14" spans="1:18">
      <c r="A14">
        <v>2</v>
      </c>
      <c r="B14">
        <v>3</v>
      </c>
      <c r="C14" s="1">
        <v>31714</v>
      </c>
      <c r="D14" s="1">
        <v>12319</v>
      </c>
      <c r="E14" s="1">
        <v>11757</v>
      </c>
      <c r="F14" s="1">
        <v>287</v>
      </c>
      <c r="G14" s="1">
        <v>3881</v>
      </c>
      <c r="H14" s="1">
        <v>2931</v>
      </c>
      <c r="I14" t="str">
        <f t="shared" si="0"/>
        <v>Retail</v>
      </c>
      <c r="J14" t="str">
        <f t="shared" si="1"/>
        <v>Other</v>
      </c>
      <c r="K14" s="1">
        <f t="shared" si="2"/>
        <v>62889</v>
      </c>
      <c r="Q14" t="s">
        <v>14</v>
      </c>
      <c r="R14" s="1">
        <f>MIN(E2:E441)</f>
        <v>3</v>
      </c>
    </row>
    <row r="15" spans="1:18">
      <c r="A15">
        <v>2</v>
      </c>
      <c r="B15">
        <v>3</v>
      </c>
      <c r="C15" s="1">
        <v>21217</v>
      </c>
      <c r="D15" s="1">
        <v>6208</v>
      </c>
      <c r="E15" s="1">
        <v>14982</v>
      </c>
      <c r="F15" s="1">
        <v>3095</v>
      </c>
      <c r="G15" s="1">
        <v>6707</v>
      </c>
      <c r="H15" s="1">
        <v>602</v>
      </c>
      <c r="I15" t="str">
        <f t="shared" si="0"/>
        <v>Retail</v>
      </c>
      <c r="J15" t="str">
        <f t="shared" si="1"/>
        <v>Other</v>
      </c>
      <c r="K15" s="1">
        <f t="shared" si="2"/>
        <v>52811</v>
      </c>
      <c r="Q15" t="s">
        <v>15</v>
      </c>
      <c r="R15" s="1">
        <f>AVERAGE(E2:E441)</f>
        <v>7951.2772727272732</v>
      </c>
    </row>
    <row r="16" spans="1:18">
      <c r="A16">
        <v>2</v>
      </c>
      <c r="B16">
        <v>3</v>
      </c>
      <c r="C16" s="1">
        <v>24653</v>
      </c>
      <c r="D16" s="1">
        <v>9465</v>
      </c>
      <c r="E16" s="1">
        <v>12091</v>
      </c>
      <c r="F16" s="1">
        <v>294</v>
      </c>
      <c r="G16" s="1">
        <v>5058</v>
      </c>
      <c r="H16" s="1">
        <v>2168</v>
      </c>
      <c r="I16" t="str">
        <f t="shared" si="0"/>
        <v>Retail</v>
      </c>
      <c r="J16" t="str">
        <f t="shared" si="1"/>
        <v>Other</v>
      </c>
      <c r="K16" s="1">
        <f t="shared" si="2"/>
        <v>53729</v>
      </c>
      <c r="Q16" t="s">
        <v>16</v>
      </c>
      <c r="R16" s="1">
        <f>MAX(E2:E441)</f>
        <v>92780</v>
      </c>
    </row>
    <row r="17" spans="1:18">
      <c r="A17">
        <v>1</v>
      </c>
      <c r="B17">
        <v>3</v>
      </c>
      <c r="C17" s="1">
        <v>10253</v>
      </c>
      <c r="D17" s="1">
        <v>1114</v>
      </c>
      <c r="E17" s="1">
        <v>3821</v>
      </c>
      <c r="F17" s="1">
        <v>397</v>
      </c>
      <c r="G17" s="1">
        <v>964</v>
      </c>
      <c r="H17" s="1">
        <v>412</v>
      </c>
      <c r="I17" t="str">
        <f t="shared" si="0"/>
        <v>Horeca</v>
      </c>
      <c r="J17" t="str">
        <f t="shared" si="1"/>
        <v>Other</v>
      </c>
      <c r="K17" s="1">
        <f t="shared" si="2"/>
        <v>16961</v>
      </c>
    </row>
    <row r="18" spans="1:18">
      <c r="A18">
        <v>2</v>
      </c>
      <c r="B18">
        <v>3</v>
      </c>
      <c r="C18" s="1">
        <v>1020</v>
      </c>
      <c r="D18" s="1">
        <v>8816</v>
      </c>
      <c r="E18" s="1">
        <v>12121</v>
      </c>
      <c r="F18" s="1">
        <v>134</v>
      </c>
      <c r="G18" s="1">
        <v>4508</v>
      </c>
      <c r="H18" s="1">
        <v>1080</v>
      </c>
      <c r="I18" t="str">
        <f t="shared" si="0"/>
        <v>Retail</v>
      </c>
      <c r="J18" t="str">
        <f t="shared" si="1"/>
        <v>Other</v>
      </c>
      <c r="K18" s="1">
        <f t="shared" si="2"/>
        <v>27679</v>
      </c>
      <c r="Q18" s="18" t="s">
        <v>19</v>
      </c>
      <c r="R18" s="18"/>
    </row>
    <row r="19" spans="1:18">
      <c r="A19">
        <v>1</v>
      </c>
      <c r="B19">
        <v>3</v>
      </c>
      <c r="C19" s="1">
        <v>5876</v>
      </c>
      <c r="D19" s="1">
        <v>6157</v>
      </c>
      <c r="E19" s="1">
        <v>2933</v>
      </c>
      <c r="F19" s="1">
        <v>839</v>
      </c>
      <c r="G19" s="1">
        <v>370</v>
      </c>
      <c r="H19" s="1">
        <v>4478</v>
      </c>
      <c r="I19" t="str">
        <f t="shared" si="0"/>
        <v>Horeca</v>
      </c>
      <c r="J19" t="str">
        <f t="shared" si="1"/>
        <v>Other</v>
      </c>
      <c r="K19" s="1">
        <f t="shared" si="2"/>
        <v>20653</v>
      </c>
      <c r="Q19" t="s">
        <v>14</v>
      </c>
      <c r="R19" s="1">
        <f>MIN(F2:F441)</f>
        <v>25</v>
      </c>
    </row>
    <row r="20" spans="1:18">
      <c r="A20">
        <v>2</v>
      </c>
      <c r="B20">
        <v>3</v>
      </c>
      <c r="C20" s="1">
        <v>18601</v>
      </c>
      <c r="D20" s="1">
        <v>6327</v>
      </c>
      <c r="E20" s="1">
        <v>10099</v>
      </c>
      <c r="F20" s="1">
        <v>2205</v>
      </c>
      <c r="G20" s="1">
        <v>2767</v>
      </c>
      <c r="H20" s="1">
        <v>3181</v>
      </c>
      <c r="I20" t="str">
        <f t="shared" si="0"/>
        <v>Retail</v>
      </c>
      <c r="J20" t="str">
        <f t="shared" si="1"/>
        <v>Other</v>
      </c>
      <c r="K20" s="1">
        <f t="shared" si="2"/>
        <v>43180</v>
      </c>
      <c r="Q20" t="s">
        <v>15</v>
      </c>
      <c r="R20" s="1">
        <f>AVERAGE(F2:F441)</f>
        <v>3071.931818181818</v>
      </c>
    </row>
    <row r="21" spans="1:18">
      <c r="A21">
        <v>1</v>
      </c>
      <c r="B21">
        <v>3</v>
      </c>
      <c r="C21" s="1">
        <v>7780</v>
      </c>
      <c r="D21" s="1">
        <v>2495</v>
      </c>
      <c r="E21" s="1">
        <v>9464</v>
      </c>
      <c r="F21" s="1">
        <v>669</v>
      </c>
      <c r="G21" s="1">
        <v>2518</v>
      </c>
      <c r="H21" s="1">
        <v>501</v>
      </c>
      <c r="I21" t="str">
        <f t="shared" si="0"/>
        <v>Horeca</v>
      </c>
      <c r="J21" t="str">
        <f t="shared" si="1"/>
        <v>Other</v>
      </c>
      <c r="K21" s="1">
        <f t="shared" si="2"/>
        <v>23427</v>
      </c>
      <c r="Q21" t="s">
        <v>16</v>
      </c>
      <c r="R21" s="1">
        <f>MAX(F2:F441)</f>
        <v>60869</v>
      </c>
    </row>
    <row r="22" spans="1:18">
      <c r="A22">
        <v>2</v>
      </c>
      <c r="B22">
        <v>3</v>
      </c>
      <c r="C22" s="1">
        <v>17546</v>
      </c>
      <c r="D22" s="1">
        <v>4519</v>
      </c>
      <c r="E22" s="1">
        <v>4602</v>
      </c>
      <c r="F22" s="1">
        <v>1066</v>
      </c>
      <c r="G22" s="1">
        <v>2259</v>
      </c>
      <c r="H22" s="1">
        <v>2124</v>
      </c>
      <c r="I22" t="str">
        <f t="shared" si="0"/>
        <v>Retail</v>
      </c>
      <c r="J22" t="str">
        <f t="shared" si="1"/>
        <v>Other</v>
      </c>
      <c r="K22" s="1">
        <f t="shared" si="2"/>
        <v>32116</v>
      </c>
    </row>
    <row r="23" spans="1:18">
      <c r="A23">
        <v>1</v>
      </c>
      <c r="B23">
        <v>3</v>
      </c>
      <c r="C23" s="1">
        <v>5567</v>
      </c>
      <c r="D23" s="1">
        <v>871</v>
      </c>
      <c r="E23" s="1">
        <v>2010</v>
      </c>
      <c r="F23" s="1">
        <v>3383</v>
      </c>
      <c r="G23" s="1">
        <v>375</v>
      </c>
      <c r="H23" s="1">
        <v>569</v>
      </c>
      <c r="I23" t="str">
        <f t="shared" si="0"/>
        <v>Horeca</v>
      </c>
      <c r="J23" t="str">
        <f t="shared" si="1"/>
        <v>Other</v>
      </c>
      <c r="K23" s="1">
        <f t="shared" si="2"/>
        <v>12775</v>
      </c>
      <c r="Q23" s="18" t="s">
        <v>20</v>
      </c>
      <c r="R23" s="18"/>
    </row>
    <row r="24" spans="1:18">
      <c r="A24">
        <v>1</v>
      </c>
      <c r="B24">
        <v>3</v>
      </c>
      <c r="C24" s="1">
        <v>31276</v>
      </c>
      <c r="D24" s="1">
        <v>1917</v>
      </c>
      <c r="E24" s="1">
        <v>4469</v>
      </c>
      <c r="F24" s="1">
        <v>9408</v>
      </c>
      <c r="G24" s="1">
        <v>2381</v>
      </c>
      <c r="H24" s="1">
        <v>4334</v>
      </c>
      <c r="I24" t="str">
        <f t="shared" si="0"/>
        <v>Horeca</v>
      </c>
      <c r="J24" t="str">
        <f t="shared" si="1"/>
        <v>Other</v>
      </c>
      <c r="K24" s="1">
        <f t="shared" si="2"/>
        <v>53785</v>
      </c>
      <c r="Q24" t="s">
        <v>14</v>
      </c>
      <c r="R24" s="1">
        <f>MIN(G2:G441)</f>
        <v>3</v>
      </c>
    </row>
    <row r="25" spans="1:18">
      <c r="A25">
        <v>2</v>
      </c>
      <c r="B25">
        <v>3</v>
      </c>
      <c r="C25" s="1">
        <v>26373</v>
      </c>
      <c r="D25" s="1">
        <v>36423</v>
      </c>
      <c r="E25" s="1">
        <v>22019</v>
      </c>
      <c r="F25" s="1">
        <v>5154</v>
      </c>
      <c r="G25" s="1">
        <v>4337</v>
      </c>
      <c r="H25" s="1">
        <v>16523</v>
      </c>
      <c r="I25" t="str">
        <f t="shared" si="0"/>
        <v>Retail</v>
      </c>
      <c r="J25" t="str">
        <f t="shared" si="1"/>
        <v>Other</v>
      </c>
      <c r="K25" s="1">
        <f t="shared" si="2"/>
        <v>110829</v>
      </c>
      <c r="Q25" t="s">
        <v>15</v>
      </c>
      <c r="R25" s="1">
        <f>AVERAGE(G2:G441)</f>
        <v>2881.4931818181817</v>
      </c>
    </row>
    <row r="26" spans="1:18">
      <c r="A26">
        <v>2</v>
      </c>
      <c r="B26">
        <v>3</v>
      </c>
      <c r="C26" s="1">
        <v>22647</v>
      </c>
      <c r="D26" s="1">
        <v>9776</v>
      </c>
      <c r="E26" s="1">
        <v>13792</v>
      </c>
      <c r="F26" s="1">
        <v>2915</v>
      </c>
      <c r="G26" s="1">
        <v>4482</v>
      </c>
      <c r="H26" s="1">
        <v>5778</v>
      </c>
      <c r="I26" t="str">
        <f t="shared" si="0"/>
        <v>Retail</v>
      </c>
      <c r="J26" t="str">
        <f t="shared" si="1"/>
        <v>Other</v>
      </c>
      <c r="K26" s="1">
        <f t="shared" si="2"/>
        <v>59390</v>
      </c>
      <c r="Q26" t="s">
        <v>16</v>
      </c>
      <c r="R26" s="1">
        <f>MAX(G2:G441)</f>
        <v>40827</v>
      </c>
    </row>
    <row r="27" spans="1:18">
      <c r="A27">
        <v>2</v>
      </c>
      <c r="B27">
        <v>3</v>
      </c>
      <c r="C27" s="1">
        <v>16165</v>
      </c>
      <c r="D27" s="1">
        <v>4230</v>
      </c>
      <c r="E27" s="1">
        <v>7595</v>
      </c>
      <c r="F27" s="1">
        <v>201</v>
      </c>
      <c r="G27" s="1">
        <v>4003</v>
      </c>
      <c r="H27" s="1">
        <v>57</v>
      </c>
      <c r="I27" t="str">
        <f t="shared" si="0"/>
        <v>Retail</v>
      </c>
      <c r="J27" t="str">
        <f t="shared" si="1"/>
        <v>Other</v>
      </c>
      <c r="K27" s="1">
        <f t="shared" si="2"/>
        <v>32251</v>
      </c>
    </row>
    <row r="28" spans="1:18">
      <c r="A28">
        <v>1</v>
      </c>
      <c r="B28">
        <v>3</v>
      </c>
      <c r="C28" s="1">
        <v>9898</v>
      </c>
      <c r="D28" s="1">
        <v>961</v>
      </c>
      <c r="E28" s="1">
        <v>2861</v>
      </c>
      <c r="F28" s="1">
        <v>3151</v>
      </c>
      <c r="G28" s="1">
        <v>242</v>
      </c>
      <c r="H28" s="1">
        <v>833</v>
      </c>
      <c r="I28" t="str">
        <f t="shared" si="0"/>
        <v>Horeca</v>
      </c>
      <c r="J28" t="str">
        <f t="shared" si="1"/>
        <v>Other</v>
      </c>
      <c r="K28" s="1">
        <f t="shared" si="2"/>
        <v>17946</v>
      </c>
      <c r="Q28" s="18" t="s">
        <v>21</v>
      </c>
      <c r="R28" s="18"/>
    </row>
    <row r="29" spans="1:18">
      <c r="A29">
        <v>1</v>
      </c>
      <c r="B29">
        <v>3</v>
      </c>
      <c r="C29" s="1">
        <v>14276</v>
      </c>
      <c r="D29" s="1">
        <v>803</v>
      </c>
      <c r="E29" s="1">
        <v>3045</v>
      </c>
      <c r="F29" s="1">
        <v>485</v>
      </c>
      <c r="G29" s="1">
        <v>100</v>
      </c>
      <c r="H29" s="1">
        <v>518</v>
      </c>
      <c r="I29" t="str">
        <f t="shared" si="0"/>
        <v>Horeca</v>
      </c>
      <c r="J29" t="str">
        <f t="shared" si="1"/>
        <v>Other</v>
      </c>
      <c r="K29" s="1">
        <f t="shared" si="2"/>
        <v>19227</v>
      </c>
      <c r="Q29" t="s">
        <v>14</v>
      </c>
      <c r="R29" s="1">
        <f>MIN(H2:H441)</f>
        <v>3</v>
      </c>
    </row>
    <row r="30" spans="1:18">
      <c r="A30">
        <v>2</v>
      </c>
      <c r="B30">
        <v>3</v>
      </c>
      <c r="C30" s="1">
        <v>4113</v>
      </c>
      <c r="D30" s="1">
        <v>20484</v>
      </c>
      <c r="E30" s="1">
        <v>25957</v>
      </c>
      <c r="F30" s="1">
        <v>1158</v>
      </c>
      <c r="G30" s="1">
        <v>8604</v>
      </c>
      <c r="H30" s="1">
        <v>5206</v>
      </c>
      <c r="I30" t="str">
        <f t="shared" si="0"/>
        <v>Retail</v>
      </c>
      <c r="J30" t="str">
        <f t="shared" si="1"/>
        <v>Other</v>
      </c>
      <c r="K30" s="1">
        <f t="shared" si="2"/>
        <v>65522</v>
      </c>
      <c r="Q30" t="s">
        <v>15</v>
      </c>
      <c r="R30" s="1">
        <f>AVERAGE(H2:H441)</f>
        <v>1524.8704545454545</v>
      </c>
    </row>
    <row r="31" spans="1:18">
      <c r="A31">
        <v>1</v>
      </c>
      <c r="B31">
        <v>3</v>
      </c>
      <c r="C31" s="1">
        <v>43088</v>
      </c>
      <c r="D31" s="1">
        <v>2100</v>
      </c>
      <c r="E31" s="1">
        <v>2609</v>
      </c>
      <c r="F31" s="1">
        <v>1200</v>
      </c>
      <c r="G31" s="1">
        <v>1107</v>
      </c>
      <c r="H31" s="1">
        <v>823</v>
      </c>
      <c r="I31" t="str">
        <f t="shared" si="0"/>
        <v>Horeca</v>
      </c>
      <c r="J31" t="str">
        <f t="shared" si="1"/>
        <v>Other</v>
      </c>
      <c r="K31" s="1">
        <f t="shared" si="2"/>
        <v>50927</v>
      </c>
      <c r="Q31" t="s">
        <v>16</v>
      </c>
      <c r="R31" s="1">
        <f>MAX(H2:H441)</f>
        <v>47943</v>
      </c>
    </row>
    <row r="32" spans="1:18">
      <c r="A32">
        <v>1</v>
      </c>
      <c r="B32">
        <v>3</v>
      </c>
      <c r="C32" s="1">
        <v>18815</v>
      </c>
      <c r="D32" s="1">
        <v>3610</v>
      </c>
      <c r="E32" s="1">
        <v>11107</v>
      </c>
      <c r="F32" s="1">
        <v>1148</v>
      </c>
      <c r="G32" s="1">
        <v>2134</v>
      </c>
      <c r="H32" s="1">
        <v>2963</v>
      </c>
      <c r="I32" t="str">
        <f t="shared" si="0"/>
        <v>Horeca</v>
      </c>
      <c r="J32" t="str">
        <f t="shared" si="1"/>
        <v>Other</v>
      </c>
      <c r="K32" s="1">
        <f t="shared" si="2"/>
        <v>39777</v>
      </c>
    </row>
    <row r="33" spans="1:11">
      <c r="A33">
        <v>1</v>
      </c>
      <c r="B33">
        <v>3</v>
      </c>
      <c r="C33" s="1">
        <v>2612</v>
      </c>
      <c r="D33" s="1">
        <v>4339</v>
      </c>
      <c r="E33" s="1">
        <v>3133</v>
      </c>
      <c r="F33" s="1">
        <v>2088</v>
      </c>
      <c r="G33" s="1">
        <v>820</v>
      </c>
      <c r="H33" s="1">
        <v>985</v>
      </c>
      <c r="I33" t="str">
        <f t="shared" si="0"/>
        <v>Horeca</v>
      </c>
      <c r="J33" t="str">
        <f t="shared" si="1"/>
        <v>Other</v>
      </c>
      <c r="K33" s="1">
        <f t="shared" si="2"/>
        <v>13977</v>
      </c>
    </row>
    <row r="34" spans="1:11">
      <c r="A34">
        <v>1</v>
      </c>
      <c r="B34">
        <v>3</v>
      </c>
      <c r="C34" s="1">
        <v>21632</v>
      </c>
      <c r="D34" s="1">
        <v>1318</v>
      </c>
      <c r="E34" s="1">
        <v>2886</v>
      </c>
      <c r="F34" s="1">
        <v>266</v>
      </c>
      <c r="G34" s="1">
        <v>918</v>
      </c>
      <c r="H34" s="1">
        <v>405</v>
      </c>
      <c r="I34" t="str">
        <f t="shared" si="0"/>
        <v>Horeca</v>
      </c>
      <c r="J34" t="str">
        <f t="shared" si="1"/>
        <v>Other</v>
      </c>
      <c r="K34" s="1">
        <f t="shared" si="2"/>
        <v>27425</v>
      </c>
    </row>
    <row r="35" spans="1:11">
      <c r="A35">
        <v>1</v>
      </c>
      <c r="B35">
        <v>3</v>
      </c>
      <c r="C35" s="1">
        <v>29729</v>
      </c>
      <c r="D35" s="1">
        <v>4786</v>
      </c>
      <c r="E35" s="1">
        <v>7326</v>
      </c>
      <c r="F35" s="1">
        <v>6130</v>
      </c>
      <c r="G35" s="1">
        <v>361</v>
      </c>
      <c r="H35" s="1">
        <v>1083</v>
      </c>
      <c r="I35" t="str">
        <f t="shared" si="0"/>
        <v>Horeca</v>
      </c>
      <c r="J35" t="str">
        <f t="shared" si="1"/>
        <v>Other</v>
      </c>
      <c r="K35" s="1">
        <f t="shared" si="2"/>
        <v>49415</v>
      </c>
    </row>
    <row r="36" spans="1:11">
      <c r="A36">
        <v>1</v>
      </c>
      <c r="B36">
        <v>3</v>
      </c>
      <c r="C36" s="1">
        <v>1502</v>
      </c>
      <c r="D36" s="1">
        <v>1979</v>
      </c>
      <c r="E36" s="1">
        <v>2262</v>
      </c>
      <c r="F36" s="1">
        <v>425</v>
      </c>
      <c r="G36" s="1">
        <v>483</v>
      </c>
      <c r="H36" s="1">
        <v>395</v>
      </c>
      <c r="I36" t="str">
        <f t="shared" si="0"/>
        <v>Horeca</v>
      </c>
      <c r="J36" t="str">
        <f t="shared" si="1"/>
        <v>Other</v>
      </c>
      <c r="K36" s="1">
        <f t="shared" si="2"/>
        <v>7046</v>
      </c>
    </row>
    <row r="37" spans="1:11">
      <c r="A37">
        <v>2</v>
      </c>
      <c r="B37">
        <v>3</v>
      </c>
      <c r="C37" s="1">
        <v>688</v>
      </c>
      <c r="D37" s="1">
        <v>5491</v>
      </c>
      <c r="E37" s="1">
        <v>11091</v>
      </c>
      <c r="F37" s="1">
        <v>833</v>
      </c>
      <c r="G37" s="1">
        <v>4239</v>
      </c>
      <c r="H37" s="1">
        <v>436</v>
      </c>
      <c r="I37" t="str">
        <f t="shared" si="0"/>
        <v>Retail</v>
      </c>
      <c r="J37" t="str">
        <f t="shared" si="1"/>
        <v>Other</v>
      </c>
      <c r="K37" s="1">
        <f t="shared" si="2"/>
        <v>22778</v>
      </c>
    </row>
    <row r="38" spans="1:11">
      <c r="A38">
        <v>1</v>
      </c>
      <c r="B38">
        <v>3</v>
      </c>
      <c r="C38" s="1">
        <v>29955</v>
      </c>
      <c r="D38" s="1">
        <v>4362</v>
      </c>
      <c r="E38" s="1">
        <v>5428</v>
      </c>
      <c r="F38" s="1">
        <v>1729</v>
      </c>
      <c r="G38" s="1">
        <v>862</v>
      </c>
      <c r="H38" s="1">
        <v>4626</v>
      </c>
      <c r="I38" t="str">
        <f t="shared" si="0"/>
        <v>Horeca</v>
      </c>
      <c r="J38" t="str">
        <f t="shared" si="1"/>
        <v>Other</v>
      </c>
      <c r="K38" s="1">
        <f t="shared" si="2"/>
        <v>46962</v>
      </c>
    </row>
    <row r="39" spans="1:11">
      <c r="A39">
        <v>2</v>
      </c>
      <c r="B39">
        <v>3</v>
      </c>
      <c r="C39" s="1">
        <v>15168</v>
      </c>
      <c r="D39" s="1">
        <v>10556</v>
      </c>
      <c r="E39" s="1">
        <v>12477</v>
      </c>
      <c r="F39" s="1">
        <v>1920</v>
      </c>
      <c r="G39" s="1">
        <v>6506</v>
      </c>
      <c r="H39" s="1">
        <v>714</v>
      </c>
      <c r="I39" t="str">
        <f t="shared" si="0"/>
        <v>Retail</v>
      </c>
      <c r="J39" t="str">
        <f t="shared" si="1"/>
        <v>Other</v>
      </c>
      <c r="K39" s="1">
        <f t="shared" si="2"/>
        <v>47341</v>
      </c>
    </row>
    <row r="40" spans="1:11">
      <c r="A40">
        <v>2</v>
      </c>
      <c r="B40">
        <v>3</v>
      </c>
      <c r="C40" s="1">
        <v>4591</v>
      </c>
      <c r="D40" s="1">
        <v>15729</v>
      </c>
      <c r="E40" s="1">
        <v>16709</v>
      </c>
      <c r="F40" s="1">
        <v>33</v>
      </c>
      <c r="G40" s="1">
        <v>6956</v>
      </c>
      <c r="H40" s="1">
        <v>433</v>
      </c>
      <c r="I40" t="str">
        <f t="shared" si="0"/>
        <v>Retail</v>
      </c>
      <c r="J40" t="str">
        <f t="shared" si="1"/>
        <v>Other</v>
      </c>
      <c r="K40" s="1">
        <f t="shared" si="2"/>
        <v>44451</v>
      </c>
    </row>
    <row r="41" spans="1:11">
      <c r="A41">
        <v>1</v>
      </c>
      <c r="B41">
        <v>3</v>
      </c>
      <c r="C41" s="1">
        <v>56159</v>
      </c>
      <c r="D41" s="1">
        <v>555</v>
      </c>
      <c r="E41" s="1">
        <v>902</v>
      </c>
      <c r="F41" s="1">
        <v>10002</v>
      </c>
      <c r="G41" s="1">
        <v>212</v>
      </c>
      <c r="H41" s="1">
        <v>2916</v>
      </c>
      <c r="I41" t="str">
        <f t="shared" si="0"/>
        <v>Horeca</v>
      </c>
      <c r="J41" t="str">
        <f t="shared" si="1"/>
        <v>Other</v>
      </c>
      <c r="K41" s="1">
        <f t="shared" si="2"/>
        <v>70746</v>
      </c>
    </row>
    <row r="42" spans="1:11">
      <c r="A42">
        <v>1</v>
      </c>
      <c r="B42">
        <v>3</v>
      </c>
      <c r="C42" s="1">
        <v>24025</v>
      </c>
      <c r="D42" s="1">
        <v>4332</v>
      </c>
      <c r="E42" s="1">
        <v>4757</v>
      </c>
      <c r="F42" s="1">
        <v>9510</v>
      </c>
      <c r="G42" s="1">
        <v>1145</v>
      </c>
      <c r="H42" s="1">
        <v>5864</v>
      </c>
      <c r="I42" t="str">
        <f t="shared" si="0"/>
        <v>Horeca</v>
      </c>
      <c r="J42" t="str">
        <f t="shared" si="1"/>
        <v>Other</v>
      </c>
      <c r="K42" s="1">
        <f t="shared" si="2"/>
        <v>49633</v>
      </c>
    </row>
    <row r="43" spans="1:11">
      <c r="A43">
        <v>1</v>
      </c>
      <c r="B43">
        <v>3</v>
      </c>
      <c r="C43" s="1">
        <v>19176</v>
      </c>
      <c r="D43" s="1">
        <v>3065</v>
      </c>
      <c r="E43" s="1">
        <v>5956</v>
      </c>
      <c r="F43" s="1">
        <v>2033</v>
      </c>
      <c r="G43" s="1">
        <v>2575</v>
      </c>
      <c r="H43" s="1">
        <v>2802</v>
      </c>
      <c r="I43" t="str">
        <f t="shared" si="0"/>
        <v>Horeca</v>
      </c>
      <c r="J43" t="str">
        <f t="shared" si="1"/>
        <v>Other</v>
      </c>
      <c r="K43" s="1">
        <f t="shared" si="2"/>
        <v>35607</v>
      </c>
    </row>
    <row r="44" spans="1:11">
      <c r="A44">
        <v>2</v>
      </c>
      <c r="B44">
        <v>3</v>
      </c>
      <c r="C44" s="1">
        <v>10850</v>
      </c>
      <c r="D44" s="1">
        <v>7555</v>
      </c>
      <c r="E44" s="1">
        <v>14961</v>
      </c>
      <c r="F44" s="1">
        <v>188</v>
      </c>
      <c r="G44" s="1">
        <v>6899</v>
      </c>
      <c r="H44" s="1">
        <v>46</v>
      </c>
      <c r="I44" t="str">
        <f t="shared" si="0"/>
        <v>Retail</v>
      </c>
      <c r="J44" t="str">
        <f t="shared" si="1"/>
        <v>Other</v>
      </c>
      <c r="K44" s="1">
        <f t="shared" si="2"/>
        <v>40499</v>
      </c>
    </row>
    <row r="45" spans="1:11">
      <c r="A45">
        <v>2</v>
      </c>
      <c r="B45">
        <v>3</v>
      </c>
      <c r="C45" s="1">
        <v>630</v>
      </c>
      <c r="D45" s="1">
        <v>11095</v>
      </c>
      <c r="E45" s="1">
        <v>23998</v>
      </c>
      <c r="F45" s="1">
        <v>787</v>
      </c>
      <c r="G45" s="1">
        <v>9529</v>
      </c>
      <c r="H45" s="1">
        <v>72</v>
      </c>
      <c r="I45" t="str">
        <f t="shared" si="0"/>
        <v>Retail</v>
      </c>
      <c r="J45" t="str">
        <f t="shared" si="1"/>
        <v>Other</v>
      </c>
      <c r="K45" s="1">
        <f t="shared" si="2"/>
        <v>46111</v>
      </c>
    </row>
    <row r="46" spans="1:11">
      <c r="A46">
        <v>2</v>
      </c>
      <c r="B46">
        <v>3</v>
      </c>
      <c r="C46" s="1">
        <v>9670</v>
      </c>
      <c r="D46" s="1">
        <v>7027</v>
      </c>
      <c r="E46" s="1">
        <v>10471</v>
      </c>
      <c r="F46" s="1">
        <v>541</v>
      </c>
      <c r="G46" s="1">
        <v>4618</v>
      </c>
      <c r="H46" s="1">
        <v>65</v>
      </c>
      <c r="I46" t="str">
        <f t="shared" si="0"/>
        <v>Retail</v>
      </c>
      <c r="J46" t="str">
        <f t="shared" si="1"/>
        <v>Other</v>
      </c>
      <c r="K46" s="1">
        <f t="shared" si="2"/>
        <v>32392</v>
      </c>
    </row>
    <row r="47" spans="1:11">
      <c r="A47">
        <v>2</v>
      </c>
      <c r="B47">
        <v>3</v>
      </c>
      <c r="C47" s="1">
        <v>5181</v>
      </c>
      <c r="D47" s="1">
        <v>22044</v>
      </c>
      <c r="E47" s="1">
        <v>21531</v>
      </c>
      <c r="F47" s="1">
        <v>1740</v>
      </c>
      <c r="G47" s="1">
        <v>7353</v>
      </c>
      <c r="H47" s="1">
        <v>4985</v>
      </c>
      <c r="I47" t="str">
        <f t="shared" si="0"/>
        <v>Retail</v>
      </c>
      <c r="J47" t="str">
        <f t="shared" si="1"/>
        <v>Other</v>
      </c>
      <c r="K47" s="1">
        <f t="shared" si="2"/>
        <v>62834</v>
      </c>
    </row>
    <row r="48" spans="1:11">
      <c r="A48">
        <v>2</v>
      </c>
      <c r="B48">
        <v>3</v>
      </c>
      <c r="C48" s="1">
        <v>3103</v>
      </c>
      <c r="D48" s="1">
        <v>14069</v>
      </c>
      <c r="E48" s="1">
        <v>21955</v>
      </c>
      <c r="F48" s="1">
        <v>1668</v>
      </c>
      <c r="G48" s="1">
        <v>6792</v>
      </c>
      <c r="H48" s="1">
        <v>1452</v>
      </c>
      <c r="I48" t="str">
        <f t="shared" si="0"/>
        <v>Retail</v>
      </c>
      <c r="J48" t="str">
        <f t="shared" si="1"/>
        <v>Other</v>
      </c>
      <c r="K48" s="1">
        <f t="shared" si="2"/>
        <v>49039</v>
      </c>
    </row>
    <row r="49" spans="1:11">
      <c r="A49">
        <v>2</v>
      </c>
      <c r="B49">
        <v>3</v>
      </c>
      <c r="C49" s="1">
        <v>44466</v>
      </c>
      <c r="D49" s="1">
        <v>54259</v>
      </c>
      <c r="E49" s="1">
        <v>55571</v>
      </c>
      <c r="F49" s="1">
        <v>7782</v>
      </c>
      <c r="G49" s="1">
        <v>24171</v>
      </c>
      <c r="H49" s="1">
        <v>6465</v>
      </c>
      <c r="I49" t="str">
        <f t="shared" si="0"/>
        <v>Retail</v>
      </c>
      <c r="J49" t="str">
        <f t="shared" si="1"/>
        <v>Other</v>
      </c>
      <c r="K49" s="1">
        <f t="shared" si="2"/>
        <v>192714</v>
      </c>
    </row>
    <row r="50" spans="1:11">
      <c r="A50">
        <v>2</v>
      </c>
      <c r="B50">
        <v>3</v>
      </c>
      <c r="C50" s="1">
        <v>11519</v>
      </c>
      <c r="D50" s="1">
        <v>6152</v>
      </c>
      <c r="E50" s="1">
        <v>10868</v>
      </c>
      <c r="F50" s="1">
        <v>584</v>
      </c>
      <c r="G50" s="1">
        <v>5121</v>
      </c>
      <c r="H50" s="1">
        <v>1476</v>
      </c>
      <c r="I50" t="str">
        <f t="shared" si="0"/>
        <v>Retail</v>
      </c>
      <c r="J50" t="str">
        <f t="shared" si="1"/>
        <v>Other</v>
      </c>
      <c r="K50" s="1">
        <f t="shared" si="2"/>
        <v>35720</v>
      </c>
    </row>
    <row r="51" spans="1:11">
      <c r="A51">
        <v>2</v>
      </c>
      <c r="B51">
        <v>3</v>
      </c>
      <c r="C51" s="1">
        <v>4967</v>
      </c>
      <c r="D51" s="1">
        <v>21412</v>
      </c>
      <c r="E51" s="1">
        <v>28921</v>
      </c>
      <c r="F51" s="1">
        <v>1798</v>
      </c>
      <c r="G51" s="1">
        <v>13583</v>
      </c>
      <c r="H51" s="1">
        <v>1163</v>
      </c>
      <c r="I51" t="str">
        <f t="shared" si="0"/>
        <v>Retail</v>
      </c>
      <c r="J51" t="str">
        <f t="shared" si="1"/>
        <v>Other</v>
      </c>
      <c r="K51" s="1">
        <f t="shared" si="2"/>
        <v>71844</v>
      </c>
    </row>
    <row r="52" spans="1:11">
      <c r="A52">
        <v>1</v>
      </c>
      <c r="B52">
        <v>3</v>
      </c>
      <c r="C52" s="1">
        <v>6269</v>
      </c>
      <c r="D52" s="1">
        <v>1095</v>
      </c>
      <c r="E52" s="1">
        <v>1980</v>
      </c>
      <c r="F52" s="1">
        <v>3860</v>
      </c>
      <c r="G52" s="1">
        <v>609</v>
      </c>
      <c r="H52" s="1">
        <v>2162</v>
      </c>
      <c r="I52" t="str">
        <f t="shared" si="0"/>
        <v>Horeca</v>
      </c>
      <c r="J52" t="str">
        <f t="shared" si="1"/>
        <v>Other</v>
      </c>
      <c r="K52" s="1">
        <f t="shared" si="2"/>
        <v>15975</v>
      </c>
    </row>
    <row r="53" spans="1:11">
      <c r="A53">
        <v>1</v>
      </c>
      <c r="B53">
        <v>3</v>
      </c>
      <c r="C53" s="1">
        <v>3347</v>
      </c>
      <c r="D53" s="1">
        <v>4051</v>
      </c>
      <c r="E53" s="1">
        <v>6996</v>
      </c>
      <c r="F53" s="1">
        <v>239</v>
      </c>
      <c r="G53" s="1">
        <v>1538</v>
      </c>
      <c r="H53" s="1">
        <v>301</v>
      </c>
      <c r="I53" t="str">
        <f t="shared" si="0"/>
        <v>Horeca</v>
      </c>
      <c r="J53" t="str">
        <f t="shared" si="1"/>
        <v>Other</v>
      </c>
      <c r="K53" s="1">
        <f t="shared" si="2"/>
        <v>16472</v>
      </c>
    </row>
    <row r="54" spans="1:11">
      <c r="A54">
        <v>2</v>
      </c>
      <c r="B54">
        <v>3</v>
      </c>
      <c r="C54" s="1">
        <v>40721</v>
      </c>
      <c r="D54" s="1">
        <v>3916</v>
      </c>
      <c r="E54" s="1">
        <v>5876</v>
      </c>
      <c r="F54" s="1">
        <v>532</v>
      </c>
      <c r="G54" s="1">
        <v>2587</v>
      </c>
      <c r="H54" s="1">
        <v>1278</v>
      </c>
      <c r="I54" t="str">
        <f t="shared" si="0"/>
        <v>Retail</v>
      </c>
      <c r="J54" t="str">
        <f t="shared" si="1"/>
        <v>Other</v>
      </c>
      <c r="K54" s="1">
        <f t="shared" si="2"/>
        <v>54910</v>
      </c>
    </row>
    <row r="55" spans="1:11">
      <c r="A55">
        <v>2</v>
      </c>
      <c r="B55">
        <v>3</v>
      </c>
      <c r="C55" s="1">
        <v>491</v>
      </c>
      <c r="D55" s="1">
        <v>10473</v>
      </c>
      <c r="E55" s="1">
        <v>11532</v>
      </c>
      <c r="F55" s="1">
        <v>744</v>
      </c>
      <c r="G55" s="1">
        <v>5611</v>
      </c>
      <c r="H55" s="1">
        <v>224</v>
      </c>
      <c r="I55" t="str">
        <f t="shared" si="0"/>
        <v>Retail</v>
      </c>
      <c r="J55" t="str">
        <f t="shared" si="1"/>
        <v>Other</v>
      </c>
      <c r="K55" s="1">
        <f t="shared" si="2"/>
        <v>29075</v>
      </c>
    </row>
    <row r="56" spans="1:11">
      <c r="A56">
        <v>1</v>
      </c>
      <c r="B56">
        <v>3</v>
      </c>
      <c r="C56" s="1">
        <v>27329</v>
      </c>
      <c r="D56" s="1">
        <v>1449</v>
      </c>
      <c r="E56" s="1">
        <v>1947</v>
      </c>
      <c r="F56" s="1">
        <v>2436</v>
      </c>
      <c r="G56" s="1">
        <v>204</v>
      </c>
      <c r="H56" s="1">
        <v>1333</v>
      </c>
      <c r="I56" t="str">
        <f t="shared" si="0"/>
        <v>Horeca</v>
      </c>
      <c r="J56" t="str">
        <f t="shared" si="1"/>
        <v>Other</v>
      </c>
      <c r="K56" s="1">
        <f t="shared" si="2"/>
        <v>34698</v>
      </c>
    </row>
    <row r="57" spans="1:11">
      <c r="A57">
        <v>1</v>
      </c>
      <c r="B57">
        <v>3</v>
      </c>
      <c r="C57" s="1">
        <v>5264</v>
      </c>
      <c r="D57" s="1">
        <v>3683</v>
      </c>
      <c r="E57" s="1">
        <v>5005</v>
      </c>
      <c r="F57" s="1">
        <v>1057</v>
      </c>
      <c r="G57" s="1">
        <v>2024</v>
      </c>
      <c r="H57" s="1">
        <v>1130</v>
      </c>
      <c r="I57" t="str">
        <f t="shared" si="0"/>
        <v>Horeca</v>
      </c>
      <c r="J57" t="str">
        <f t="shared" si="1"/>
        <v>Other</v>
      </c>
      <c r="K57" s="1">
        <f t="shared" si="2"/>
        <v>18163</v>
      </c>
    </row>
    <row r="58" spans="1:11">
      <c r="A58">
        <v>2</v>
      </c>
      <c r="B58">
        <v>3</v>
      </c>
      <c r="C58" s="1">
        <v>4098</v>
      </c>
      <c r="D58" s="1">
        <v>29892</v>
      </c>
      <c r="E58" s="1">
        <v>26866</v>
      </c>
      <c r="F58" s="1">
        <v>2616</v>
      </c>
      <c r="G58" s="1">
        <v>17740</v>
      </c>
      <c r="H58" s="1">
        <v>1340</v>
      </c>
      <c r="I58" t="str">
        <f t="shared" si="0"/>
        <v>Retail</v>
      </c>
      <c r="J58" t="str">
        <f t="shared" si="1"/>
        <v>Other</v>
      </c>
      <c r="K58" s="1">
        <f t="shared" si="2"/>
        <v>82552</v>
      </c>
    </row>
    <row r="59" spans="1:11">
      <c r="A59">
        <v>2</v>
      </c>
      <c r="B59">
        <v>3</v>
      </c>
      <c r="C59" s="1">
        <v>5417</v>
      </c>
      <c r="D59" s="1">
        <v>9933</v>
      </c>
      <c r="E59" s="1">
        <v>10487</v>
      </c>
      <c r="F59" s="1">
        <v>38</v>
      </c>
      <c r="G59" s="1">
        <v>7572</v>
      </c>
      <c r="H59" s="1">
        <v>1282</v>
      </c>
      <c r="I59" t="str">
        <f t="shared" si="0"/>
        <v>Retail</v>
      </c>
      <c r="J59" t="str">
        <f t="shared" si="1"/>
        <v>Other</v>
      </c>
      <c r="K59" s="1">
        <f t="shared" si="2"/>
        <v>34729</v>
      </c>
    </row>
    <row r="60" spans="1:11">
      <c r="A60">
        <v>1</v>
      </c>
      <c r="B60">
        <v>3</v>
      </c>
      <c r="C60" s="1">
        <v>13779</v>
      </c>
      <c r="D60" s="1">
        <v>1970</v>
      </c>
      <c r="E60" s="1">
        <v>1648</v>
      </c>
      <c r="F60" s="1">
        <v>596</v>
      </c>
      <c r="G60" s="1">
        <v>227</v>
      </c>
      <c r="H60" s="1">
        <v>436</v>
      </c>
      <c r="I60" t="str">
        <f t="shared" si="0"/>
        <v>Horeca</v>
      </c>
      <c r="J60" t="str">
        <f t="shared" si="1"/>
        <v>Other</v>
      </c>
      <c r="K60" s="1">
        <f t="shared" si="2"/>
        <v>18656</v>
      </c>
    </row>
    <row r="61" spans="1:11">
      <c r="A61">
        <v>1</v>
      </c>
      <c r="B61">
        <v>3</v>
      </c>
      <c r="C61" s="1">
        <v>6137</v>
      </c>
      <c r="D61" s="1">
        <v>5360</v>
      </c>
      <c r="E61" s="1">
        <v>8040</v>
      </c>
      <c r="F61" s="1">
        <v>129</v>
      </c>
      <c r="G61" s="1">
        <v>3084</v>
      </c>
      <c r="H61" s="1">
        <v>1603</v>
      </c>
      <c r="I61" t="str">
        <f t="shared" si="0"/>
        <v>Horeca</v>
      </c>
      <c r="J61" t="str">
        <f t="shared" si="1"/>
        <v>Other</v>
      </c>
      <c r="K61" s="1">
        <f t="shared" si="2"/>
        <v>24353</v>
      </c>
    </row>
    <row r="62" spans="1:11">
      <c r="A62">
        <v>2</v>
      </c>
      <c r="B62">
        <v>3</v>
      </c>
      <c r="C62" s="1">
        <v>8590</v>
      </c>
      <c r="D62" s="1">
        <v>3045</v>
      </c>
      <c r="E62" s="1">
        <v>7854</v>
      </c>
      <c r="F62" s="1">
        <v>96</v>
      </c>
      <c r="G62" s="1">
        <v>4095</v>
      </c>
      <c r="H62" s="1">
        <v>225</v>
      </c>
      <c r="I62" t="str">
        <f t="shared" si="0"/>
        <v>Retail</v>
      </c>
      <c r="J62" t="str">
        <f t="shared" si="1"/>
        <v>Other</v>
      </c>
      <c r="K62" s="1">
        <f t="shared" si="2"/>
        <v>23905</v>
      </c>
    </row>
    <row r="63" spans="1:11">
      <c r="A63">
        <v>2</v>
      </c>
      <c r="B63">
        <v>3</v>
      </c>
      <c r="C63" s="1">
        <v>35942</v>
      </c>
      <c r="D63" s="1">
        <v>38369</v>
      </c>
      <c r="E63" s="1">
        <v>59598</v>
      </c>
      <c r="F63" s="1">
        <v>3254</v>
      </c>
      <c r="G63" s="1">
        <v>26701</v>
      </c>
      <c r="H63" s="1">
        <v>2017</v>
      </c>
      <c r="I63" t="str">
        <f t="shared" si="0"/>
        <v>Retail</v>
      </c>
      <c r="J63" t="str">
        <f t="shared" si="1"/>
        <v>Other</v>
      </c>
      <c r="K63" s="1">
        <f t="shared" si="2"/>
        <v>165881</v>
      </c>
    </row>
    <row r="64" spans="1:11">
      <c r="A64">
        <v>2</v>
      </c>
      <c r="B64">
        <v>3</v>
      </c>
      <c r="C64" s="1">
        <v>7823</v>
      </c>
      <c r="D64" s="1">
        <v>6245</v>
      </c>
      <c r="E64" s="1">
        <v>6544</v>
      </c>
      <c r="F64" s="1">
        <v>4154</v>
      </c>
      <c r="G64" s="1">
        <v>4074</v>
      </c>
      <c r="H64" s="1">
        <v>964</v>
      </c>
      <c r="I64" t="str">
        <f t="shared" si="0"/>
        <v>Retail</v>
      </c>
      <c r="J64" t="str">
        <f t="shared" si="1"/>
        <v>Other</v>
      </c>
      <c r="K64" s="1">
        <f t="shared" si="2"/>
        <v>29804</v>
      </c>
    </row>
    <row r="65" spans="1:11">
      <c r="A65">
        <v>2</v>
      </c>
      <c r="B65">
        <v>3</v>
      </c>
      <c r="C65" s="1">
        <v>9396</v>
      </c>
      <c r="D65" s="1">
        <v>11601</v>
      </c>
      <c r="E65" s="1">
        <v>15775</v>
      </c>
      <c r="F65" s="1">
        <v>2896</v>
      </c>
      <c r="G65" s="1">
        <v>7677</v>
      </c>
      <c r="H65" s="1">
        <v>1295</v>
      </c>
      <c r="I65" t="str">
        <f t="shared" si="0"/>
        <v>Retail</v>
      </c>
      <c r="J65" t="str">
        <f t="shared" si="1"/>
        <v>Other</v>
      </c>
      <c r="K65" s="1">
        <f t="shared" si="2"/>
        <v>48640</v>
      </c>
    </row>
    <row r="66" spans="1:11">
      <c r="A66">
        <v>1</v>
      </c>
      <c r="B66">
        <v>3</v>
      </c>
      <c r="C66" s="1">
        <v>4760</v>
      </c>
      <c r="D66" s="1">
        <v>1227</v>
      </c>
      <c r="E66" s="1">
        <v>3250</v>
      </c>
      <c r="F66" s="1">
        <v>3724</v>
      </c>
      <c r="G66" s="1">
        <v>1247</v>
      </c>
      <c r="H66" s="1">
        <v>1145</v>
      </c>
      <c r="I66" t="str">
        <f t="shared" si="0"/>
        <v>Horeca</v>
      </c>
      <c r="J66" t="str">
        <f t="shared" si="1"/>
        <v>Other</v>
      </c>
      <c r="K66" s="1">
        <f t="shared" si="2"/>
        <v>15353</v>
      </c>
    </row>
    <row r="67" spans="1:11">
      <c r="A67">
        <v>2</v>
      </c>
      <c r="B67">
        <v>3</v>
      </c>
      <c r="C67" s="1">
        <v>85</v>
      </c>
      <c r="D67" s="1">
        <v>20959</v>
      </c>
      <c r="E67" s="1">
        <v>45828</v>
      </c>
      <c r="F67" s="1">
        <v>36</v>
      </c>
      <c r="G67" s="1">
        <v>24231</v>
      </c>
      <c r="H67" s="1">
        <v>1423</v>
      </c>
      <c r="I67" t="str">
        <f t="shared" ref="I67:I130" si="3">IF(A67=1,"Horeca",IF(A67=2,"Retail","Check"))</f>
        <v>Retail</v>
      </c>
      <c r="J67" t="str">
        <f t="shared" ref="J67:J130" si="4">IF(B67=1,"Lisbon",IF(B67=2,"Oporto",IF(B67=3,"Other","Check")))</f>
        <v>Other</v>
      </c>
      <c r="K67" s="1">
        <f t="shared" ref="K67:K130" si="5">SUM(C67:H67)</f>
        <v>92562</v>
      </c>
    </row>
    <row r="68" spans="1:11">
      <c r="A68">
        <v>1</v>
      </c>
      <c r="B68">
        <v>3</v>
      </c>
      <c r="C68" s="1">
        <v>9</v>
      </c>
      <c r="D68" s="1">
        <v>1534</v>
      </c>
      <c r="E68" s="1">
        <v>7417</v>
      </c>
      <c r="F68" s="1">
        <v>175</v>
      </c>
      <c r="G68" s="1">
        <v>3468</v>
      </c>
      <c r="H68" s="1">
        <v>27</v>
      </c>
      <c r="I68" t="str">
        <f t="shared" si="3"/>
        <v>Horeca</v>
      </c>
      <c r="J68" t="str">
        <f t="shared" si="4"/>
        <v>Other</v>
      </c>
      <c r="K68" s="1">
        <f t="shared" si="5"/>
        <v>12630</v>
      </c>
    </row>
    <row r="69" spans="1:11">
      <c r="A69">
        <v>2</v>
      </c>
      <c r="B69">
        <v>3</v>
      </c>
      <c r="C69" s="1">
        <v>19913</v>
      </c>
      <c r="D69" s="1">
        <v>6759</v>
      </c>
      <c r="E69" s="1">
        <v>13462</v>
      </c>
      <c r="F69" s="1">
        <v>1256</v>
      </c>
      <c r="G69" s="1">
        <v>5141</v>
      </c>
      <c r="H69" s="1">
        <v>834</v>
      </c>
      <c r="I69" t="str">
        <f t="shared" si="3"/>
        <v>Retail</v>
      </c>
      <c r="J69" t="str">
        <f t="shared" si="4"/>
        <v>Other</v>
      </c>
      <c r="K69" s="1">
        <f t="shared" si="5"/>
        <v>47365</v>
      </c>
    </row>
    <row r="70" spans="1:11">
      <c r="A70">
        <v>1</v>
      </c>
      <c r="B70">
        <v>3</v>
      </c>
      <c r="C70" s="1">
        <v>2446</v>
      </c>
      <c r="D70" s="1">
        <v>7260</v>
      </c>
      <c r="E70" s="1">
        <v>3993</v>
      </c>
      <c r="F70" s="1">
        <v>5870</v>
      </c>
      <c r="G70" s="1">
        <v>788</v>
      </c>
      <c r="H70" s="1">
        <v>3095</v>
      </c>
      <c r="I70" t="str">
        <f t="shared" si="3"/>
        <v>Horeca</v>
      </c>
      <c r="J70" t="str">
        <f t="shared" si="4"/>
        <v>Other</v>
      </c>
      <c r="K70" s="1">
        <f t="shared" si="5"/>
        <v>23452</v>
      </c>
    </row>
    <row r="71" spans="1:11">
      <c r="A71">
        <v>1</v>
      </c>
      <c r="B71">
        <v>3</v>
      </c>
      <c r="C71" s="1">
        <v>8352</v>
      </c>
      <c r="D71" s="1">
        <v>2820</v>
      </c>
      <c r="E71" s="1">
        <v>1293</v>
      </c>
      <c r="F71" s="1">
        <v>779</v>
      </c>
      <c r="G71" s="1">
        <v>656</v>
      </c>
      <c r="H71" s="1">
        <v>144</v>
      </c>
      <c r="I71" t="str">
        <f t="shared" si="3"/>
        <v>Horeca</v>
      </c>
      <c r="J71" t="str">
        <f t="shared" si="4"/>
        <v>Other</v>
      </c>
      <c r="K71" s="1">
        <f t="shared" si="5"/>
        <v>14044</v>
      </c>
    </row>
    <row r="72" spans="1:11">
      <c r="A72">
        <v>1</v>
      </c>
      <c r="B72">
        <v>3</v>
      </c>
      <c r="C72" s="1">
        <v>16705</v>
      </c>
      <c r="D72" s="1">
        <v>2037</v>
      </c>
      <c r="E72" s="1">
        <v>3202</v>
      </c>
      <c r="F72" s="1">
        <v>10643</v>
      </c>
      <c r="G72" s="1">
        <v>116</v>
      </c>
      <c r="H72" s="1">
        <v>1365</v>
      </c>
      <c r="I72" t="str">
        <f t="shared" si="3"/>
        <v>Horeca</v>
      </c>
      <c r="J72" t="str">
        <f t="shared" si="4"/>
        <v>Other</v>
      </c>
      <c r="K72" s="1">
        <f t="shared" si="5"/>
        <v>34068</v>
      </c>
    </row>
    <row r="73" spans="1:11">
      <c r="A73">
        <v>1</v>
      </c>
      <c r="B73">
        <v>3</v>
      </c>
      <c r="C73" s="1">
        <v>18291</v>
      </c>
      <c r="D73" s="1">
        <v>1266</v>
      </c>
      <c r="E73" s="1">
        <v>21042</v>
      </c>
      <c r="F73" s="1">
        <v>5373</v>
      </c>
      <c r="G73" s="1">
        <v>4173</v>
      </c>
      <c r="H73" s="1">
        <v>14472</v>
      </c>
      <c r="I73" t="str">
        <f t="shared" si="3"/>
        <v>Horeca</v>
      </c>
      <c r="J73" t="str">
        <f t="shared" si="4"/>
        <v>Other</v>
      </c>
      <c r="K73" s="1">
        <f t="shared" si="5"/>
        <v>64617</v>
      </c>
    </row>
    <row r="74" spans="1:11">
      <c r="A74">
        <v>1</v>
      </c>
      <c r="B74">
        <v>3</v>
      </c>
      <c r="C74" s="1">
        <v>4420</v>
      </c>
      <c r="D74" s="1">
        <v>5139</v>
      </c>
      <c r="E74" s="1">
        <v>2661</v>
      </c>
      <c r="F74" s="1">
        <v>8872</v>
      </c>
      <c r="G74" s="1">
        <v>1321</v>
      </c>
      <c r="H74" s="1">
        <v>181</v>
      </c>
      <c r="I74" t="str">
        <f t="shared" si="3"/>
        <v>Horeca</v>
      </c>
      <c r="J74" t="str">
        <f t="shared" si="4"/>
        <v>Other</v>
      </c>
      <c r="K74" s="1">
        <f t="shared" si="5"/>
        <v>22594</v>
      </c>
    </row>
    <row r="75" spans="1:11">
      <c r="A75">
        <v>2</v>
      </c>
      <c r="B75">
        <v>3</v>
      </c>
      <c r="C75" s="1">
        <v>19899</v>
      </c>
      <c r="D75" s="1">
        <v>5332</v>
      </c>
      <c r="E75" s="1">
        <v>8713</v>
      </c>
      <c r="F75" s="1">
        <v>8132</v>
      </c>
      <c r="G75" s="1">
        <v>764</v>
      </c>
      <c r="H75" s="1">
        <v>648</v>
      </c>
      <c r="I75" t="str">
        <f t="shared" si="3"/>
        <v>Retail</v>
      </c>
      <c r="J75" t="str">
        <f t="shared" si="4"/>
        <v>Other</v>
      </c>
      <c r="K75" s="1">
        <f t="shared" si="5"/>
        <v>43488</v>
      </c>
    </row>
    <row r="76" spans="1:11">
      <c r="A76">
        <v>2</v>
      </c>
      <c r="B76">
        <v>3</v>
      </c>
      <c r="C76" s="1">
        <v>8190</v>
      </c>
      <c r="D76" s="1">
        <v>6343</v>
      </c>
      <c r="E76" s="1">
        <v>9794</v>
      </c>
      <c r="F76" s="1">
        <v>1285</v>
      </c>
      <c r="G76" s="1">
        <v>1901</v>
      </c>
      <c r="H76" s="1">
        <v>1780</v>
      </c>
      <c r="I76" t="str">
        <f t="shared" si="3"/>
        <v>Retail</v>
      </c>
      <c r="J76" t="str">
        <f t="shared" si="4"/>
        <v>Other</v>
      </c>
      <c r="K76" s="1">
        <f t="shared" si="5"/>
        <v>29293</v>
      </c>
    </row>
    <row r="77" spans="1:11">
      <c r="A77">
        <v>1</v>
      </c>
      <c r="B77">
        <v>3</v>
      </c>
      <c r="C77" s="1">
        <v>20398</v>
      </c>
      <c r="D77" s="1">
        <v>1137</v>
      </c>
      <c r="E77" s="1">
        <v>3</v>
      </c>
      <c r="F77" s="1">
        <v>4407</v>
      </c>
      <c r="G77" s="1">
        <v>3</v>
      </c>
      <c r="H77" s="1">
        <v>975</v>
      </c>
      <c r="I77" t="str">
        <f t="shared" si="3"/>
        <v>Horeca</v>
      </c>
      <c r="J77" t="str">
        <f t="shared" si="4"/>
        <v>Other</v>
      </c>
      <c r="K77" s="1">
        <f t="shared" si="5"/>
        <v>26923</v>
      </c>
    </row>
    <row r="78" spans="1:11">
      <c r="A78">
        <v>1</v>
      </c>
      <c r="B78">
        <v>3</v>
      </c>
      <c r="C78" s="1">
        <v>717</v>
      </c>
      <c r="D78" s="1">
        <v>3587</v>
      </c>
      <c r="E78" s="1">
        <v>6532</v>
      </c>
      <c r="F78" s="1">
        <v>7530</v>
      </c>
      <c r="G78" s="1">
        <v>529</v>
      </c>
      <c r="H78" s="1">
        <v>894</v>
      </c>
      <c r="I78" t="str">
        <f t="shared" si="3"/>
        <v>Horeca</v>
      </c>
      <c r="J78" t="str">
        <f t="shared" si="4"/>
        <v>Other</v>
      </c>
      <c r="K78" s="1">
        <f t="shared" si="5"/>
        <v>19789</v>
      </c>
    </row>
    <row r="79" spans="1:11">
      <c r="A79">
        <v>2</v>
      </c>
      <c r="B79">
        <v>3</v>
      </c>
      <c r="C79" s="1">
        <v>12205</v>
      </c>
      <c r="D79" s="1">
        <v>12697</v>
      </c>
      <c r="E79" s="1">
        <v>28540</v>
      </c>
      <c r="F79" s="1">
        <v>869</v>
      </c>
      <c r="G79" s="1">
        <v>12034</v>
      </c>
      <c r="H79" s="1">
        <v>1009</v>
      </c>
      <c r="I79" t="str">
        <f t="shared" si="3"/>
        <v>Retail</v>
      </c>
      <c r="J79" t="str">
        <f t="shared" si="4"/>
        <v>Other</v>
      </c>
      <c r="K79" s="1">
        <f t="shared" si="5"/>
        <v>67354</v>
      </c>
    </row>
    <row r="80" spans="1:11">
      <c r="A80">
        <v>1</v>
      </c>
      <c r="B80">
        <v>3</v>
      </c>
      <c r="C80" s="1">
        <v>10766</v>
      </c>
      <c r="D80" s="1">
        <v>1175</v>
      </c>
      <c r="E80" s="1">
        <v>2067</v>
      </c>
      <c r="F80" s="1">
        <v>2096</v>
      </c>
      <c r="G80" s="1">
        <v>301</v>
      </c>
      <c r="H80" s="1">
        <v>167</v>
      </c>
      <c r="I80" t="str">
        <f t="shared" si="3"/>
        <v>Horeca</v>
      </c>
      <c r="J80" t="str">
        <f t="shared" si="4"/>
        <v>Other</v>
      </c>
      <c r="K80" s="1">
        <f t="shared" si="5"/>
        <v>16572</v>
      </c>
    </row>
    <row r="81" spans="1:11">
      <c r="A81">
        <v>1</v>
      </c>
      <c r="B81">
        <v>3</v>
      </c>
      <c r="C81" s="1">
        <v>1640</v>
      </c>
      <c r="D81" s="1">
        <v>3259</v>
      </c>
      <c r="E81" s="1">
        <v>3655</v>
      </c>
      <c r="F81" s="1">
        <v>868</v>
      </c>
      <c r="G81" s="1">
        <v>1202</v>
      </c>
      <c r="H81" s="1">
        <v>1653</v>
      </c>
      <c r="I81" t="str">
        <f t="shared" si="3"/>
        <v>Horeca</v>
      </c>
      <c r="J81" t="str">
        <f t="shared" si="4"/>
        <v>Other</v>
      </c>
      <c r="K81" s="1">
        <f t="shared" si="5"/>
        <v>12277</v>
      </c>
    </row>
    <row r="82" spans="1:11">
      <c r="A82">
        <v>1</v>
      </c>
      <c r="B82">
        <v>3</v>
      </c>
      <c r="C82" s="1">
        <v>7005</v>
      </c>
      <c r="D82" s="1">
        <v>829</v>
      </c>
      <c r="E82" s="1">
        <v>3009</v>
      </c>
      <c r="F82" s="1">
        <v>430</v>
      </c>
      <c r="G82" s="1">
        <v>610</v>
      </c>
      <c r="H82" s="1">
        <v>529</v>
      </c>
      <c r="I82" t="str">
        <f t="shared" si="3"/>
        <v>Horeca</v>
      </c>
      <c r="J82" t="str">
        <f t="shared" si="4"/>
        <v>Other</v>
      </c>
      <c r="K82" s="1">
        <f t="shared" si="5"/>
        <v>12412</v>
      </c>
    </row>
    <row r="83" spans="1:11">
      <c r="A83">
        <v>2</v>
      </c>
      <c r="B83">
        <v>3</v>
      </c>
      <c r="C83" s="1">
        <v>219</v>
      </c>
      <c r="D83" s="1">
        <v>9540</v>
      </c>
      <c r="E83" s="1">
        <v>14403</v>
      </c>
      <c r="F83" s="1">
        <v>283</v>
      </c>
      <c r="G83" s="1">
        <v>7818</v>
      </c>
      <c r="H83" s="1">
        <v>156</v>
      </c>
      <c r="I83" t="str">
        <f t="shared" si="3"/>
        <v>Retail</v>
      </c>
      <c r="J83" t="str">
        <f t="shared" si="4"/>
        <v>Other</v>
      </c>
      <c r="K83" s="1">
        <f t="shared" si="5"/>
        <v>32419</v>
      </c>
    </row>
    <row r="84" spans="1:11">
      <c r="A84">
        <v>2</v>
      </c>
      <c r="B84">
        <v>3</v>
      </c>
      <c r="C84" s="1">
        <v>10362</v>
      </c>
      <c r="D84" s="1">
        <v>9232</v>
      </c>
      <c r="E84" s="1">
        <v>11009</v>
      </c>
      <c r="F84" s="1">
        <v>737</v>
      </c>
      <c r="G84" s="1">
        <v>3537</v>
      </c>
      <c r="H84" s="1">
        <v>2342</v>
      </c>
      <c r="I84" t="str">
        <f t="shared" si="3"/>
        <v>Retail</v>
      </c>
      <c r="J84" t="str">
        <f t="shared" si="4"/>
        <v>Other</v>
      </c>
      <c r="K84" s="1">
        <f t="shared" si="5"/>
        <v>37219</v>
      </c>
    </row>
    <row r="85" spans="1:11">
      <c r="A85">
        <v>1</v>
      </c>
      <c r="B85">
        <v>3</v>
      </c>
      <c r="C85" s="1">
        <v>20874</v>
      </c>
      <c r="D85" s="1">
        <v>1563</v>
      </c>
      <c r="E85" s="1">
        <v>1783</v>
      </c>
      <c r="F85" s="1">
        <v>2320</v>
      </c>
      <c r="G85" s="1">
        <v>550</v>
      </c>
      <c r="H85" s="1">
        <v>772</v>
      </c>
      <c r="I85" t="str">
        <f t="shared" si="3"/>
        <v>Horeca</v>
      </c>
      <c r="J85" t="str">
        <f t="shared" si="4"/>
        <v>Other</v>
      </c>
      <c r="K85" s="1">
        <f t="shared" si="5"/>
        <v>27862</v>
      </c>
    </row>
    <row r="86" spans="1:11">
      <c r="A86">
        <v>2</v>
      </c>
      <c r="B86">
        <v>3</v>
      </c>
      <c r="C86" s="1">
        <v>11867</v>
      </c>
      <c r="D86" s="1">
        <v>3327</v>
      </c>
      <c r="E86" s="1">
        <v>4814</v>
      </c>
      <c r="F86" s="1">
        <v>1178</v>
      </c>
      <c r="G86" s="1">
        <v>3837</v>
      </c>
      <c r="H86" s="1">
        <v>120</v>
      </c>
      <c r="I86" t="str">
        <f t="shared" si="3"/>
        <v>Retail</v>
      </c>
      <c r="J86" t="str">
        <f t="shared" si="4"/>
        <v>Other</v>
      </c>
      <c r="K86" s="1">
        <f t="shared" si="5"/>
        <v>25143</v>
      </c>
    </row>
    <row r="87" spans="1:11">
      <c r="A87">
        <v>2</v>
      </c>
      <c r="B87">
        <v>3</v>
      </c>
      <c r="C87" s="1">
        <v>16117</v>
      </c>
      <c r="D87" s="1">
        <v>46197</v>
      </c>
      <c r="E87" s="1">
        <v>92780</v>
      </c>
      <c r="F87" s="1">
        <v>1026</v>
      </c>
      <c r="G87" s="1">
        <v>40827</v>
      </c>
      <c r="H87" s="1">
        <v>2944</v>
      </c>
      <c r="I87" t="str">
        <f t="shared" si="3"/>
        <v>Retail</v>
      </c>
      <c r="J87" t="str">
        <f t="shared" si="4"/>
        <v>Other</v>
      </c>
      <c r="K87" s="1">
        <f t="shared" si="5"/>
        <v>199891</v>
      </c>
    </row>
    <row r="88" spans="1:11">
      <c r="A88">
        <v>2</v>
      </c>
      <c r="B88">
        <v>3</v>
      </c>
      <c r="C88" s="1">
        <v>22925</v>
      </c>
      <c r="D88" s="1">
        <v>73498</v>
      </c>
      <c r="E88" s="1">
        <v>32114</v>
      </c>
      <c r="F88" s="1">
        <v>987</v>
      </c>
      <c r="G88" s="1">
        <v>20070</v>
      </c>
      <c r="H88" s="1">
        <v>903</v>
      </c>
      <c r="I88" t="str">
        <f t="shared" si="3"/>
        <v>Retail</v>
      </c>
      <c r="J88" t="str">
        <f t="shared" si="4"/>
        <v>Other</v>
      </c>
      <c r="K88" s="1">
        <f t="shared" si="5"/>
        <v>150497</v>
      </c>
    </row>
    <row r="89" spans="1:11">
      <c r="A89">
        <v>1</v>
      </c>
      <c r="B89">
        <v>3</v>
      </c>
      <c r="C89" s="1">
        <v>43265</v>
      </c>
      <c r="D89" s="1">
        <v>5025</v>
      </c>
      <c r="E89" s="1">
        <v>8117</v>
      </c>
      <c r="F89" s="1">
        <v>6312</v>
      </c>
      <c r="G89" s="1">
        <v>1579</v>
      </c>
      <c r="H89" s="1">
        <v>14351</v>
      </c>
      <c r="I89" t="str">
        <f t="shared" si="3"/>
        <v>Horeca</v>
      </c>
      <c r="J89" t="str">
        <f t="shared" si="4"/>
        <v>Other</v>
      </c>
      <c r="K89" s="1">
        <f t="shared" si="5"/>
        <v>78649</v>
      </c>
    </row>
    <row r="90" spans="1:11">
      <c r="A90">
        <v>1</v>
      </c>
      <c r="B90">
        <v>3</v>
      </c>
      <c r="C90" s="1">
        <v>7864</v>
      </c>
      <c r="D90" s="1">
        <v>542</v>
      </c>
      <c r="E90" s="1">
        <v>4042</v>
      </c>
      <c r="F90" s="1">
        <v>9735</v>
      </c>
      <c r="G90" s="1">
        <v>165</v>
      </c>
      <c r="H90" s="1">
        <v>46</v>
      </c>
      <c r="I90" t="str">
        <f t="shared" si="3"/>
        <v>Horeca</v>
      </c>
      <c r="J90" t="str">
        <f t="shared" si="4"/>
        <v>Other</v>
      </c>
      <c r="K90" s="1">
        <f t="shared" si="5"/>
        <v>22394</v>
      </c>
    </row>
    <row r="91" spans="1:11">
      <c r="A91">
        <v>1</v>
      </c>
      <c r="B91">
        <v>3</v>
      </c>
      <c r="C91" s="1">
        <v>24904</v>
      </c>
      <c r="D91" s="1">
        <v>3836</v>
      </c>
      <c r="E91" s="1">
        <v>5330</v>
      </c>
      <c r="F91" s="1">
        <v>3443</v>
      </c>
      <c r="G91" s="1">
        <v>454</v>
      </c>
      <c r="H91" s="1">
        <v>3178</v>
      </c>
      <c r="I91" t="str">
        <f t="shared" si="3"/>
        <v>Horeca</v>
      </c>
      <c r="J91" t="str">
        <f t="shared" si="4"/>
        <v>Other</v>
      </c>
      <c r="K91" s="1">
        <f t="shared" si="5"/>
        <v>41145</v>
      </c>
    </row>
    <row r="92" spans="1:11">
      <c r="A92">
        <v>1</v>
      </c>
      <c r="B92">
        <v>3</v>
      </c>
      <c r="C92" s="1">
        <v>11405</v>
      </c>
      <c r="D92" s="1">
        <v>596</v>
      </c>
      <c r="E92" s="1">
        <v>1638</v>
      </c>
      <c r="F92" s="1">
        <v>3347</v>
      </c>
      <c r="G92" s="1">
        <v>69</v>
      </c>
      <c r="H92" s="1">
        <v>360</v>
      </c>
      <c r="I92" t="str">
        <f t="shared" si="3"/>
        <v>Horeca</v>
      </c>
      <c r="J92" t="str">
        <f t="shared" si="4"/>
        <v>Other</v>
      </c>
      <c r="K92" s="1">
        <f t="shared" si="5"/>
        <v>17415</v>
      </c>
    </row>
    <row r="93" spans="1:11">
      <c r="A93">
        <v>1</v>
      </c>
      <c r="B93">
        <v>3</v>
      </c>
      <c r="C93" s="1">
        <v>12754</v>
      </c>
      <c r="D93" s="1">
        <v>2762</v>
      </c>
      <c r="E93" s="1">
        <v>2530</v>
      </c>
      <c r="F93" s="1">
        <v>8693</v>
      </c>
      <c r="G93" s="1">
        <v>627</v>
      </c>
      <c r="H93" s="1">
        <v>1117</v>
      </c>
      <c r="I93" t="str">
        <f t="shared" si="3"/>
        <v>Horeca</v>
      </c>
      <c r="J93" t="str">
        <f t="shared" si="4"/>
        <v>Other</v>
      </c>
      <c r="K93" s="1">
        <f t="shared" si="5"/>
        <v>28483</v>
      </c>
    </row>
    <row r="94" spans="1:11">
      <c r="A94">
        <v>2</v>
      </c>
      <c r="B94">
        <v>3</v>
      </c>
      <c r="C94" s="1">
        <v>9198</v>
      </c>
      <c r="D94" s="1">
        <v>27472</v>
      </c>
      <c r="E94" s="1">
        <v>32034</v>
      </c>
      <c r="F94" s="1">
        <v>3232</v>
      </c>
      <c r="G94" s="1">
        <v>18906</v>
      </c>
      <c r="H94" s="1">
        <v>5130</v>
      </c>
      <c r="I94" t="str">
        <f t="shared" si="3"/>
        <v>Retail</v>
      </c>
      <c r="J94" t="str">
        <f t="shared" si="4"/>
        <v>Other</v>
      </c>
      <c r="K94" s="1">
        <f t="shared" si="5"/>
        <v>95972</v>
      </c>
    </row>
    <row r="95" spans="1:11">
      <c r="A95">
        <v>1</v>
      </c>
      <c r="B95">
        <v>3</v>
      </c>
      <c r="C95" s="1">
        <v>11314</v>
      </c>
      <c r="D95" s="1">
        <v>3090</v>
      </c>
      <c r="E95" s="1">
        <v>2062</v>
      </c>
      <c r="F95" s="1">
        <v>35009</v>
      </c>
      <c r="G95" s="1">
        <v>71</v>
      </c>
      <c r="H95" s="1">
        <v>2698</v>
      </c>
      <c r="I95" t="str">
        <f t="shared" si="3"/>
        <v>Horeca</v>
      </c>
      <c r="J95" t="str">
        <f t="shared" si="4"/>
        <v>Other</v>
      </c>
      <c r="K95" s="1">
        <f t="shared" si="5"/>
        <v>54244</v>
      </c>
    </row>
    <row r="96" spans="1:11">
      <c r="A96">
        <v>2</v>
      </c>
      <c r="B96">
        <v>3</v>
      </c>
      <c r="C96" s="1">
        <v>5626</v>
      </c>
      <c r="D96" s="1">
        <v>12220</v>
      </c>
      <c r="E96" s="1">
        <v>11323</v>
      </c>
      <c r="F96" s="1">
        <v>206</v>
      </c>
      <c r="G96" s="1">
        <v>5038</v>
      </c>
      <c r="H96" s="1">
        <v>244</v>
      </c>
      <c r="I96" t="str">
        <f t="shared" si="3"/>
        <v>Retail</v>
      </c>
      <c r="J96" t="str">
        <f t="shared" si="4"/>
        <v>Other</v>
      </c>
      <c r="K96" s="1">
        <f t="shared" si="5"/>
        <v>34657</v>
      </c>
    </row>
    <row r="97" spans="1:11">
      <c r="A97">
        <v>1</v>
      </c>
      <c r="B97">
        <v>3</v>
      </c>
      <c r="C97" s="1">
        <v>3</v>
      </c>
      <c r="D97" s="1">
        <v>2920</v>
      </c>
      <c r="E97" s="1">
        <v>6252</v>
      </c>
      <c r="F97" s="1">
        <v>440</v>
      </c>
      <c r="G97" s="1">
        <v>223</v>
      </c>
      <c r="H97" s="1">
        <v>709</v>
      </c>
      <c r="I97" t="str">
        <f t="shared" si="3"/>
        <v>Horeca</v>
      </c>
      <c r="J97" t="str">
        <f t="shared" si="4"/>
        <v>Other</v>
      </c>
      <c r="K97" s="1">
        <f t="shared" si="5"/>
        <v>10547</v>
      </c>
    </row>
    <row r="98" spans="1:11">
      <c r="A98">
        <v>2</v>
      </c>
      <c r="B98">
        <v>3</v>
      </c>
      <c r="C98" s="1">
        <v>23</v>
      </c>
      <c r="D98" s="1">
        <v>2616</v>
      </c>
      <c r="E98" s="1">
        <v>8118</v>
      </c>
      <c r="F98" s="1">
        <v>145</v>
      </c>
      <c r="G98" s="1">
        <v>3874</v>
      </c>
      <c r="H98" s="1">
        <v>217</v>
      </c>
      <c r="I98" t="str">
        <f t="shared" si="3"/>
        <v>Retail</v>
      </c>
      <c r="J98" t="str">
        <f t="shared" si="4"/>
        <v>Other</v>
      </c>
      <c r="K98" s="1">
        <f t="shared" si="5"/>
        <v>14993</v>
      </c>
    </row>
    <row r="99" spans="1:11">
      <c r="A99">
        <v>1</v>
      </c>
      <c r="B99">
        <v>3</v>
      </c>
      <c r="C99" s="1">
        <v>403</v>
      </c>
      <c r="D99" s="1">
        <v>254</v>
      </c>
      <c r="E99" s="1">
        <v>610</v>
      </c>
      <c r="F99" s="1">
        <v>774</v>
      </c>
      <c r="G99" s="1">
        <v>54</v>
      </c>
      <c r="H99" s="1">
        <v>63</v>
      </c>
      <c r="I99" t="str">
        <f t="shared" si="3"/>
        <v>Horeca</v>
      </c>
      <c r="J99" t="str">
        <f t="shared" si="4"/>
        <v>Other</v>
      </c>
      <c r="K99" s="1">
        <f t="shared" si="5"/>
        <v>2158</v>
      </c>
    </row>
    <row r="100" spans="1:11">
      <c r="A100">
        <v>1</v>
      </c>
      <c r="B100">
        <v>3</v>
      </c>
      <c r="C100" s="1">
        <v>503</v>
      </c>
      <c r="D100" s="1">
        <v>112</v>
      </c>
      <c r="E100" s="1">
        <v>778</v>
      </c>
      <c r="F100" s="1">
        <v>895</v>
      </c>
      <c r="G100" s="1">
        <v>56</v>
      </c>
      <c r="H100" s="1">
        <v>132</v>
      </c>
      <c r="I100" t="str">
        <f t="shared" si="3"/>
        <v>Horeca</v>
      </c>
      <c r="J100" t="str">
        <f t="shared" si="4"/>
        <v>Other</v>
      </c>
      <c r="K100" s="1">
        <f t="shared" si="5"/>
        <v>2476</v>
      </c>
    </row>
    <row r="101" spans="1:11">
      <c r="A101">
        <v>1</v>
      </c>
      <c r="B101">
        <v>3</v>
      </c>
      <c r="C101" s="1">
        <v>9658</v>
      </c>
      <c r="D101" s="1">
        <v>2182</v>
      </c>
      <c r="E101" s="1">
        <v>1909</v>
      </c>
      <c r="F101" s="1">
        <v>5639</v>
      </c>
      <c r="G101" s="1">
        <v>215</v>
      </c>
      <c r="H101" s="1">
        <v>323</v>
      </c>
      <c r="I101" t="str">
        <f t="shared" si="3"/>
        <v>Horeca</v>
      </c>
      <c r="J101" t="str">
        <f t="shared" si="4"/>
        <v>Other</v>
      </c>
      <c r="K101" s="1">
        <f t="shared" si="5"/>
        <v>19926</v>
      </c>
    </row>
    <row r="102" spans="1:11">
      <c r="A102">
        <v>2</v>
      </c>
      <c r="B102">
        <v>3</v>
      </c>
      <c r="C102" s="1">
        <v>11594</v>
      </c>
      <c r="D102" s="1">
        <v>7779</v>
      </c>
      <c r="E102" s="1">
        <v>12144</v>
      </c>
      <c r="F102" s="1">
        <v>3252</v>
      </c>
      <c r="G102" s="1">
        <v>8035</v>
      </c>
      <c r="H102" s="1">
        <v>3029</v>
      </c>
      <c r="I102" t="str">
        <f t="shared" si="3"/>
        <v>Retail</v>
      </c>
      <c r="J102" t="str">
        <f t="shared" si="4"/>
        <v>Other</v>
      </c>
      <c r="K102" s="1">
        <f t="shared" si="5"/>
        <v>45833</v>
      </c>
    </row>
    <row r="103" spans="1:11">
      <c r="A103">
        <v>2</v>
      </c>
      <c r="B103">
        <v>3</v>
      </c>
      <c r="C103" s="1">
        <v>1420</v>
      </c>
      <c r="D103" s="1">
        <v>10810</v>
      </c>
      <c r="E103" s="1">
        <v>16267</v>
      </c>
      <c r="F103" s="1">
        <v>1593</v>
      </c>
      <c r="G103" s="1">
        <v>6766</v>
      </c>
      <c r="H103" s="1">
        <v>1838</v>
      </c>
      <c r="I103" t="str">
        <f t="shared" si="3"/>
        <v>Retail</v>
      </c>
      <c r="J103" t="str">
        <f t="shared" si="4"/>
        <v>Other</v>
      </c>
      <c r="K103" s="1">
        <f t="shared" si="5"/>
        <v>38694</v>
      </c>
    </row>
    <row r="104" spans="1:11">
      <c r="A104">
        <v>2</v>
      </c>
      <c r="B104">
        <v>3</v>
      </c>
      <c r="C104" s="1">
        <v>2932</v>
      </c>
      <c r="D104" s="1">
        <v>6459</v>
      </c>
      <c r="E104" s="1">
        <v>7677</v>
      </c>
      <c r="F104" s="1">
        <v>2561</v>
      </c>
      <c r="G104" s="1">
        <v>4573</v>
      </c>
      <c r="H104" s="1">
        <v>1386</v>
      </c>
      <c r="I104" t="str">
        <f t="shared" si="3"/>
        <v>Retail</v>
      </c>
      <c r="J104" t="str">
        <f t="shared" si="4"/>
        <v>Other</v>
      </c>
      <c r="K104" s="1">
        <f t="shared" si="5"/>
        <v>25588</v>
      </c>
    </row>
    <row r="105" spans="1:11">
      <c r="A105">
        <v>1</v>
      </c>
      <c r="B105">
        <v>3</v>
      </c>
      <c r="C105" s="1">
        <v>56082</v>
      </c>
      <c r="D105" s="1">
        <v>3504</v>
      </c>
      <c r="E105" s="1">
        <v>8906</v>
      </c>
      <c r="F105" s="1">
        <v>18028</v>
      </c>
      <c r="G105" s="1">
        <v>1480</v>
      </c>
      <c r="H105" s="1">
        <v>2498</v>
      </c>
      <c r="I105" t="str">
        <f t="shared" si="3"/>
        <v>Horeca</v>
      </c>
      <c r="J105" t="str">
        <f t="shared" si="4"/>
        <v>Other</v>
      </c>
      <c r="K105" s="1">
        <f t="shared" si="5"/>
        <v>90498</v>
      </c>
    </row>
    <row r="106" spans="1:11">
      <c r="A106">
        <v>1</v>
      </c>
      <c r="B106">
        <v>3</v>
      </c>
      <c r="C106" s="1">
        <v>14100</v>
      </c>
      <c r="D106" s="1">
        <v>2132</v>
      </c>
      <c r="E106" s="1">
        <v>3445</v>
      </c>
      <c r="F106" s="1">
        <v>1336</v>
      </c>
      <c r="G106" s="1">
        <v>1491</v>
      </c>
      <c r="H106" s="1">
        <v>548</v>
      </c>
      <c r="I106" t="str">
        <f t="shared" si="3"/>
        <v>Horeca</v>
      </c>
      <c r="J106" t="str">
        <f t="shared" si="4"/>
        <v>Other</v>
      </c>
      <c r="K106" s="1">
        <f t="shared" si="5"/>
        <v>23052</v>
      </c>
    </row>
    <row r="107" spans="1:11">
      <c r="A107">
        <v>1</v>
      </c>
      <c r="B107">
        <v>3</v>
      </c>
      <c r="C107" s="1">
        <v>15587</v>
      </c>
      <c r="D107" s="1">
        <v>1014</v>
      </c>
      <c r="E107" s="1">
        <v>3970</v>
      </c>
      <c r="F107" s="1">
        <v>910</v>
      </c>
      <c r="G107" s="1">
        <v>139</v>
      </c>
      <c r="H107" s="1">
        <v>1378</v>
      </c>
      <c r="I107" t="str">
        <f t="shared" si="3"/>
        <v>Horeca</v>
      </c>
      <c r="J107" t="str">
        <f t="shared" si="4"/>
        <v>Other</v>
      </c>
      <c r="K107" s="1">
        <f t="shared" si="5"/>
        <v>22998</v>
      </c>
    </row>
    <row r="108" spans="1:11">
      <c r="A108">
        <v>2</v>
      </c>
      <c r="B108">
        <v>3</v>
      </c>
      <c r="C108" s="1">
        <v>1454</v>
      </c>
      <c r="D108" s="1">
        <v>6337</v>
      </c>
      <c r="E108" s="1">
        <v>10704</v>
      </c>
      <c r="F108" s="1">
        <v>133</v>
      </c>
      <c r="G108" s="1">
        <v>6830</v>
      </c>
      <c r="H108" s="1">
        <v>1831</v>
      </c>
      <c r="I108" t="str">
        <f t="shared" si="3"/>
        <v>Retail</v>
      </c>
      <c r="J108" t="str">
        <f t="shared" si="4"/>
        <v>Other</v>
      </c>
      <c r="K108" s="1">
        <f t="shared" si="5"/>
        <v>27289</v>
      </c>
    </row>
    <row r="109" spans="1:11">
      <c r="A109">
        <v>2</v>
      </c>
      <c r="B109">
        <v>3</v>
      </c>
      <c r="C109" s="1">
        <v>8797</v>
      </c>
      <c r="D109" s="1">
        <v>10646</v>
      </c>
      <c r="E109" s="1">
        <v>14886</v>
      </c>
      <c r="F109" s="1">
        <v>2471</v>
      </c>
      <c r="G109" s="1">
        <v>8969</v>
      </c>
      <c r="H109" s="1">
        <v>1438</v>
      </c>
      <c r="I109" t="str">
        <f t="shared" si="3"/>
        <v>Retail</v>
      </c>
      <c r="J109" t="str">
        <f t="shared" si="4"/>
        <v>Other</v>
      </c>
      <c r="K109" s="1">
        <f t="shared" si="5"/>
        <v>47207</v>
      </c>
    </row>
    <row r="110" spans="1:11">
      <c r="A110">
        <v>2</v>
      </c>
      <c r="B110">
        <v>3</v>
      </c>
      <c r="C110" s="1">
        <v>1531</v>
      </c>
      <c r="D110" s="1">
        <v>8397</v>
      </c>
      <c r="E110" s="1">
        <v>6981</v>
      </c>
      <c r="F110" s="1">
        <v>247</v>
      </c>
      <c r="G110" s="1">
        <v>2505</v>
      </c>
      <c r="H110" s="1">
        <v>1236</v>
      </c>
      <c r="I110" t="str">
        <f t="shared" si="3"/>
        <v>Retail</v>
      </c>
      <c r="J110" t="str">
        <f t="shared" si="4"/>
        <v>Other</v>
      </c>
      <c r="K110" s="1">
        <f t="shared" si="5"/>
        <v>20897</v>
      </c>
    </row>
    <row r="111" spans="1:11">
      <c r="A111">
        <v>2</v>
      </c>
      <c r="B111">
        <v>3</v>
      </c>
      <c r="C111" s="1">
        <v>1406</v>
      </c>
      <c r="D111" s="1">
        <v>16729</v>
      </c>
      <c r="E111" s="1">
        <v>28986</v>
      </c>
      <c r="F111" s="1">
        <v>673</v>
      </c>
      <c r="G111" s="1">
        <v>836</v>
      </c>
      <c r="H111" s="1">
        <v>3</v>
      </c>
      <c r="I111" t="str">
        <f t="shared" si="3"/>
        <v>Retail</v>
      </c>
      <c r="J111" t="str">
        <f t="shared" si="4"/>
        <v>Other</v>
      </c>
      <c r="K111" s="1">
        <f t="shared" si="5"/>
        <v>48633</v>
      </c>
    </row>
    <row r="112" spans="1:11">
      <c r="A112">
        <v>1</v>
      </c>
      <c r="B112">
        <v>3</v>
      </c>
      <c r="C112" s="1">
        <v>11818</v>
      </c>
      <c r="D112" s="1">
        <v>1648</v>
      </c>
      <c r="E112" s="1">
        <v>1694</v>
      </c>
      <c r="F112" s="1">
        <v>2276</v>
      </c>
      <c r="G112" s="1">
        <v>169</v>
      </c>
      <c r="H112" s="1">
        <v>1647</v>
      </c>
      <c r="I112" t="str">
        <f t="shared" si="3"/>
        <v>Horeca</v>
      </c>
      <c r="J112" t="str">
        <f t="shared" si="4"/>
        <v>Other</v>
      </c>
      <c r="K112" s="1">
        <f t="shared" si="5"/>
        <v>19252</v>
      </c>
    </row>
    <row r="113" spans="1:11">
      <c r="A113">
        <v>2</v>
      </c>
      <c r="B113">
        <v>3</v>
      </c>
      <c r="C113" s="1">
        <v>12579</v>
      </c>
      <c r="D113" s="1">
        <v>11114</v>
      </c>
      <c r="E113" s="1">
        <v>17569</v>
      </c>
      <c r="F113" s="1">
        <v>805</v>
      </c>
      <c r="G113" s="1">
        <v>6457</v>
      </c>
      <c r="H113" s="1">
        <v>1519</v>
      </c>
      <c r="I113" t="str">
        <f t="shared" si="3"/>
        <v>Retail</v>
      </c>
      <c r="J113" t="str">
        <f t="shared" si="4"/>
        <v>Other</v>
      </c>
      <c r="K113" s="1">
        <f t="shared" si="5"/>
        <v>50043</v>
      </c>
    </row>
    <row r="114" spans="1:11">
      <c r="A114">
        <v>1</v>
      </c>
      <c r="B114">
        <v>3</v>
      </c>
      <c r="C114" s="1">
        <v>19046</v>
      </c>
      <c r="D114" s="1">
        <v>2770</v>
      </c>
      <c r="E114" s="1">
        <v>2469</v>
      </c>
      <c r="F114" s="1">
        <v>8853</v>
      </c>
      <c r="G114" s="1">
        <v>483</v>
      </c>
      <c r="H114" s="1">
        <v>2708</v>
      </c>
      <c r="I114" t="str">
        <f t="shared" si="3"/>
        <v>Horeca</v>
      </c>
      <c r="J114" t="str">
        <f t="shared" si="4"/>
        <v>Other</v>
      </c>
      <c r="K114" s="1">
        <f t="shared" si="5"/>
        <v>36329</v>
      </c>
    </row>
    <row r="115" spans="1:11">
      <c r="A115">
        <v>1</v>
      </c>
      <c r="B115">
        <v>3</v>
      </c>
      <c r="C115" s="1">
        <v>14438</v>
      </c>
      <c r="D115" s="1">
        <v>2295</v>
      </c>
      <c r="E115" s="1">
        <v>1733</v>
      </c>
      <c r="F115" s="1">
        <v>3220</v>
      </c>
      <c r="G115" s="1">
        <v>585</v>
      </c>
      <c r="H115" s="1">
        <v>1561</v>
      </c>
      <c r="I115" t="str">
        <f t="shared" si="3"/>
        <v>Horeca</v>
      </c>
      <c r="J115" t="str">
        <f t="shared" si="4"/>
        <v>Other</v>
      </c>
      <c r="K115" s="1">
        <f t="shared" si="5"/>
        <v>23832</v>
      </c>
    </row>
    <row r="116" spans="1:11">
      <c r="A116">
        <v>1</v>
      </c>
      <c r="B116">
        <v>3</v>
      </c>
      <c r="C116" s="1">
        <v>18044</v>
      </c>
      <c r="D116" s="1">
        <v>1080</v>
      </c>
      <c r="E116" s="1">
        <v>2000</v>
      </c>
      <c r="F116" s="1">
        <v>2555</v>
      </c>
      <c r="G116" s="1">
        <v>118</v>
      </c>
      <c r="H116" s="1">
        <v>1266</v>
      </c>
      <c r="I116" t="str">
        <f t="shared" si="3"/>
        <v>Horeca</v>
      </c>
      <c r="J116" t="str">
        <f t="shared" si="4"/>
        <v>Other</v>
      </c>
      <c r="K116" s="1">
        <f t="shared" si="5"/>
        <v>25063</v>
      </c>
    </row>
    <row r="117" spans="1:11">
      <c r="A117">
        <v>1</v>
      </c>
      <c r="B117">
        <v>3</v>
      </c>
      <c r="C117" s="1">
        <v>11134</v>
      </c>
      <c r="D117" s="1">
        <v>793</v>
      </c>
      <c r="E117" s="1">
        <v>2988</v>
      </c>
      <c r="F117" s="1">
        <v>2715</v>
      </c>
      <c r="G117" s="1">
        <v>276</v>
      </c>
      <c r="H117" s="1">
        <v>610</v>
      </c>
      <c r="I117" t="str">
        <f t="shared" si="3"/>
        <v>Horeca</v>
      </c>
      <c r="J117" t="str">
        <f t="shared" si="4"/>
        <v>Other</v>
      </c>
      <c r="K117" s="1">
        <f t="shared" si="5"/>
        <v>18516</v>
      </c>
    </row>
    <row r="118" spans="1:11">
      <c r="A118">
        <v>1</v>
      </c>
      <c r="B118">
        <v>3</v>
      </c>
      <c r="C118" s="1">
        <v>11173</v>
      </c>
      <c r="D118" s="1">
        <v>2521</v>
      </c>
      <c r="E118" s="1">
        <v>3355</v>
      </c>
      <c r="F118" s="1">
        <v>1517</v>
      </c>
      <c r="G118" s="1">
        <v>310</v>
      </c>
      <c r="H118" s="1">
        <v>222</v>
      </c>
      <c r="I118" t="str">
        <f t="shared" si="3"/>
        <v>Horeca</v>
      </c>
      <c r="J118" t="str">
        <f t="shared" si="4"/>
        <v>Other</v>
      </c>
      <c r="K118" s="1">
        <f t="shared" si="5"/>
        <v>19098</v>
      </c>
    </row>
    <row r="119" spans="1:11">
      <c r="A119">
        <v>1</v>
      </c>
      <c r="B119">
        <v>3</v>
      </c>
      <c r="C119" s="1">
        <v>6990</v>
      </c>
      <c r="D119" s="1">
        <v>3880</v>
      </c>
      <c r="E119" s="1">
        <v>5380</v>
      </c>
      <c r="F119" s="1">
        <v>1647</v>
      </c>
      <c r="G119" s="1">
        <v>319</v>
      </c>
      <c r="H119" s="1">
        <v>1160</v>
      </c>
      <c r="I119" t="str">
        <f t="shared" si="3"/>
        <v>Horeca</v>
      </c>
      <c r="J119" t="str">
        <f t="shared" si="4"/>
        <v>Other</v>
      </c>
      <c r="K119" s="1">
        <f t="shared" si="5"/>
        <v>19376</v>
      </c>
    </row>
    <row r="120" spans="1:11">
      <c r="A120">
        <v>1</v>
      </c>
      <c r="B120">
        <v>3</v>
      </c>
      <c r="C120" s="1">
        <v>20049</v>
      </c>
      <c r="D120" s="1">
        <v>1891</v>
      </c>
      <c r="E120" s="1">
        <v>2362</v>
      </c>
      <c r="F120" s="1">
        <v>5343</v>
      </c>
      <c r="G120" s="1">
        <v>411</v>
      </c>
      <c r="H120" s="1">
        <v>933</v>
      </c>
      <c r="I120" t="str">
        <f t="shared" si="3"/>
        <v>Horeca</v>
      </c>
      <c r="J120" t="str">
        <f t="shared" si="4"/>
        <v>Other</v>
      </c>
      <c r="K120" s="1">
        <f t="shared" si="5"/>
        <v>30989</v>
      </c>
    </row>
    <row r="121" spans="1:11">
      <c r="A121">
        <v>1</v>
      </c>
      <c r="B121">
        <v>3</v>
      </c>
      <c r="C121" s="1">
        <v>8258</v>
      </c>
      <c r="D121" s="1">
        <v>2344</v>
      </c>
      <c r="E121" s="1">
        <v>2147</v>
      </c>
      <c r="F121" s="1">
        <v>3896</v>
      </c>
      <c r="G121" s="1">
        <v>266</v>
      </c>
      <c r="H121" s="1">
        <v>635</v>
      </c>
      <c r="I121" t="str">
        <f t="shared" si="3"/>
        <v>Horeca</v>
      </c>
      <c r="J121" t="str">
        <f t="shared" si="4"/>
        <v>Other</v>
      </c>
      <c r="K121" s="1">
        <f t="shared" si="5"/>
        <v>17546</v>
      </c>
    </row>
    <row r="122" spans="1:11">
      <c r="A122">
        <v>1</v>
      </c>
      <c r="B122">
        <v>3</v>
      </c>
      <c r="C122" s="1">
        <v>17160</v>
      </c>
      <c r="D122" s="1">
        <v>1200</v>
      </c>
      <c r="E122" s="1">
        <v>3412</v>
      </c>
      <c r="F122" s="1">
        <v>2417</v>
      </c>
      <c r="G122" s="1">
        <v>174</v>
      </c>
      <c r="H122" s="1">
        <v>1136</v>
      </c>
      <c r="I122" t="str">
        <f t="shared" si="3"/>
        <v>Horeca</v>
      </c>
      <c r="J122" t="str">
        <f t="shared" si="4"/>
        <v>Other</v>
      </c>
      <c r="K122" s="1">
        <f t="shared" si="5"/>
        <v>25499</v>
      </c>
    </row>
    <row r="123" spans="1:11">
      <c r="A123">
        <v>1</v>
      </c>
      <c r="B123">
        <v>3</v>
      </c>
      <c r="C123" s="1">
        <v>4020</v>
      </c>
      <c r="D123" s="1">
        <v>3234</v>
      </c>
      <c r="E123" s="1">
        <v>1498</v>
      </c>
      <c r="F123" s="1">
        <v>2395</v>
      </c>
      <c r="G123" s="1">
        <v>264</v>
      </c>
      <c r="H123" s="1">
        <v>255</v>
      </c>
      <c r="I123" t="str">
        <f t="shared" si="3"/>
        <v>Horeca</v>
      </c>
      <c r="J123" t="str">
        <f t="shared" si="4"/>
        <v>Other</v>
      </c>
      <c r="K123" s="1">
        <f t="shared" si="5"/>
        <v>11666</v>
      </c>
    </row>
    <row r="124" spans="1:11">
      <c r="A124">
        <v>1</v>
      </c>
      <c r="B124">
        <v>3</v>
      </c>
      <c r="C124" s="1">
        <v>12212</v>
      </c>
      <c r="D124" s="1">
        <v>201</v>
      </c>
      <c r="E124" s="1">
        <v>245</v>
      </c>
      <c r="F124" s="1">
        <v>1991</v>
      </c>
      <c r="G124" s="1">
        <v>25</v>
      </c>
      <c r="H124" s="1">
        <v>860</v>
      </c>
      <c r="I124" t="str">
        <f t="shared" si="3"/>
        <v>Horeca</v>
      </c>
      <c r="J124" t="str">
        <f t="shared" si="4"/>
        <v>Other</v>
      </c>
      <c r="K124" s="1">
        <f t="shared" si="5"/>
        <v>15534</v>
      </c>
    </row>
    <row r="125" spans="1:11">
      <c r="A125">
        <v>2</v>
      </c>
      <c r="B125">
        <v>3</v>
      </c>
      <c r="C125" s="1">
        <v>11170</v>
      </c>
      <c r="D125" s="1">
        <v>10769</v>
      </c>
      <c r="E125" s="1">
        <v>8814</v>
      </c>
      <c r="F125" s="1">
        <v>2194</v>
      </c>
      <c r="G125" s="1">
        <v>1976</v>
      </c>
      <c r="H125" s="1">
        <v>143</v>
      </c>
      <c r="I125" t="str">
        <f t="shared" si="3"/>
        <v>Retail</v>
      </c>
      <c r="J125" t="str">
        <f t="shared" si="4"/>
        <v>Other</v>
      </c>
      <c r="K125" s="1">
        <f t="shared" si="5"/>
        <v>35066</v>
      </c>
    </row>
    <row r="126" spans="1:11">
      <c r="A126">
        <v>1</v>
      </c>
      <c r="B126">
        <v>3</v>
      </c>
      <c r="C126" s="1">
        <v>36050</v>
      </c>
      <c r="D126" s="1">
        <v>1642</v>
      </c>
      <c r="E126" s="1">
        <v>2961</v>
      </c>
      <c r="F126" s="1">
        <v>4787</v>
      </c>
      <c r="G126" s="1">
        <v>500</v>
      </c>
      <c r="H126" s="1">
        <v>1621</v>
      </c>
      <c r="I126" t="str">
        <f t="shared" si="3"/>
        <v>Horeca</v>
      </c>
      <c r="J126" t="str">
        <f t="shared" si="4"/>
        <v>Other</v>
      </c>
      <c r="K126" s="1">
        <f t="shared" si="5"/>
        <v>47561</v>
      </c>
    </row>
    <row r="127" spans="1:11">
      <c r="A127">
        <v>1</v>
      </c>
      <c r="B127">
        <v>3</v>
      </c>
      <c r="C127" s="1">
        <v>76237</v>
      </c>
      <c r="D127" s="1">
        <v>3473</v>
      </c>
      <c r="E127" s="1">
        <v>7102</v>
      </c>
      <c r="F127" s="1">
        <v>16538</v>
      </c>
      <c r="G127" s="1">
        <v>778</v>
      </c>
      <c r="H127" s="1">
        <v>918</v>
      </c>
      <c r="I127" t="str">
        <f t="shared" si="3"/>
        <v>Horeca</v>
      </c>
      <c r="J127" t="str">
        <f t="shared" si="4"/>
        <v>Other</v>
      </c>
      <c r="K127" s="1">
        <f t="shared" si="5"/>
        <v>105046</v>
      </c>
    </row>
    <row r="128" spans="1:11">
      <c r="A128">
        <v>1</v>
      </c>
      <c r="B128">
        <v>3</v>
      </c>
      <c r="C128" s="1">
        <v>19219</v>
      </c>
      <c r="D128" s="1">
        <v>1840</v>
      </c>
      <c r="E128" s="1">
        <v>1658</v>
      </c>
      <c r="F128" s="1">
        <v>8195</v>
      </c>
      <c r="G128" s="1">
        <v>349</v>
      </c>
      <c r="H128" s="1">
        <v>483</v>
      </c>
      <c r="I128" t="str">
        <f t="shared" si="3"/>
        <v>Horeca</v>
      </c>
      <c r="J128" t="str">
        <f t="shared" si="4"/>
        <v>Other</v>
      </c>
      <c r="K128" s="1">
        <f t="shared" si="5"/>
        <v>31744</v>
      </c>
    </row>
    <row r="129" spans="1:11">
      <c r="A129">
        <v>2</v>
      </c>
      <c r="B129">
        <v>3</v>
      </c>
      <c r="C129" s="1">
        <v>21465</v>
      </c>
      <c r="D129" s="1">
        <v>7243</v>
      </c>
      <c r="E129" s="1">
        <v>10685</v>
      </c>
      <c r="F129" s="1">
        <v>880</v>
      </c>
      <c r="G129" s="1">
        <v>2386</v>
      </c>
      <c r="H129" s="1">
        <v>2749</v>
      </c>
      <c r="I129" t="str">
        <f t="shared" si="3"/>
        <v>Retail</v>
      </c>
      <c r="J129" t="str">
        <f t="shared" si="4"/>
        <v>Other</v>
      </c>
      <c r="K129" s="1">
        <f t="shared" si="5"/>
        <v>45408</v>
      </c>
    </row>
    <row r="130" spans="1:11">
      <c r="A130">
        <v>1</v>
      </c>
      <c r="B130">
        <v>3</v>
      </c>
      <c r="C130" s="1">
        <v>140</v>
      </c>
      <c r="D130" s="1">
        <v>8847</v>
      </c>
      <c r="E130" s="1">
        <v>3823</v>
      </c>
      <c r="F130" s="1">
        <v>142</v>
      </c>
      <c r="G130" s="1">
        <v>1062</v>
      </c>
      <c r="H130" s="1">
        <v>3</v>
      </c>
      <c r="I130" t="str">
        <f t="shared" si="3"/>
        <v>Horeca</v>
      </c>
      <c r="J130" t="str">
        <f t="shared" si="4"/>
        <v>Other</v>
      </c>
      <c r="K130" s="1">
        <f t="shared" si="5"/>
        <v>14017</v>
      </c>
    </row>
    <row r="131" spans="1:11">
      <c r="A131">
        <v>1</v>
      </c>
      <c r="B131">
        <v>3</v>
      </c>
      <c r="C131" s="1">
        <v>42312</v>
      </c>
      <c r="D131" s="1">
        <v>926</v>
      </c>
      <c r="E131" s="1">
        <v>1510</v>
      </c>
      <c r="F131" s="1">
        <v>1718</v>
      </c>
      <c r="G131" s="1">
        <v>410</v>
      </c>
      <c r="H131" s="1">
        <v>1819</v>
      </c>
      <c r="I131" t="str">
        <f t="shared" ref="I131:I194" si="6">IF(A131=1,"Horeca",IF(A131=2,"Retail","Check"))</f>
        <v>Horeca</v>
      </c>
      <c r="J131" t="str">
        <f t="shared" ref="J131:J194" si="7">IF(B131=1,"Lisbon",IF(B131=2,"Oporto",IF(B131=3,"Other","Check")))</f>
        <v>Other</v>
      </c>
      <c r="K131" s="1">
        <f t="shared" ref="K131:K194" si="8">SUM(C131:H131)</f>
        <v>48695</v>
      </c>
    </row>
    <row r="132" spans="1:11">
      <c r="A132">
        <v>1</v>
      </c>
      <c r="B132">
        <v>3</v>
      </c>
      <c r="C132" s="1">
        <v>7149</v>
      </c>
      <c r="D132" s="1">
        <v>2428</v>
      </c>
      <c r="E132" s="1">
        <v>699</v>
      </c>
      <c r="F132" s="1">
        <v>6316</v>
      </c>
      <c r="G132" s="1">
        <v>395</v>
      </c>
      <c r="H132" s="1">
        <v>911</v>
      </c>
      <c r="I132" t="str">
        <f t="shared" si="6"/>
        <v>Horeca</v>
      </c>
      <c r="J132" t="str">
        <f t="shared" si="7"/>
        <v>Other</v>
      </c>
      <c r="K132" s="1">
        <f t="shared" si="8"/>
        <v>17898</v>
      </c>
    </row>
    <row r="133" spans="1:11">
      <c r="A133">
        <v>1</v>
      </c>
      <c r="B133">
        <v>3</v>
      </c>
      <c r="C133" s="1">
        <v>2101</v>
      </c>
      <c r="D133" s="1">
        <v>589</v>
      </c>
      <c r="E133" s="1">
        <v>314</v>
      </c>
      <c r="F133" s="1">
        <v>346</v>
      </c>
      <c r="G133" s="1">
        <v>70</v>
      </c>
      <c r="H133" s="1">
        <v>310</v>
      </c>
      <c r="I133" t="str">
        <f t="shared" si="6"/>
        <v>Horeca</v>
      </c>
      <c r="J133" t="str">
        <f t="shared" si="7"/>
        <v>Other</v>
      </c>
      <c r="K133" s="1">
        <f t="shared" si="8"/>
        <v>3730</v>
      </c>
    </row>
    <row r="134" spans="1:11">
      <c r="A134">
        <v>1</v>
      </c>
      <c r="B134">
        <v>3</v>
      </c>
      <c r="C134" s="1">
        <v>14903</v>
      </c>
      <c r="D134" s="1">
        <v>2032</v>
      </c>
      <c r="E134" s="1">
        <v>2479</v>
      </c>
      <c r="F134" s="1">
        <v>576</v>
      </c>
      <c r="G134" s="1">
        <v>955</v>
      </c>
      <c r="H134" s="1">
        <v>328</v>
      </c>
      <c r="I134" t="str">
        <f t="shared" si="6"/>
        <v>Horeca</v>
      </c>
      <c r="J134" t="str">
        <f t="shared" si="7"/>
        <v>Other</v>
      </c>
      <c r="K134" s="1">
        <f t="shared" si="8"/>
        <v>21273</v>
      </c>
    </row>
    <row r="135" spans="1:11">
      <c r="A135">
        <v>1</v>
      </c>
      <c r="B135">
        <v>3</v>
      </c>
      <c r="C135" s="1">
        <v>9434</v>
      </c>
      <c r="D135" s="1">
        <v>1042</v>
      </c>
      <c r="E135" s="1">
        <v>1235</v>
      </c>
      <c r="F135" s="1">
        <v>436</v>
      </c>
      <c r="G135" s="1">
        <v>256</v>
      </c>
      <c r="H135" s="1">
        <v>396</v>
      </c>
      <c r="I135" t="str">
        <f t="shared" si="6"/>
        <v>Horeca</v>
      </c>
      <c r="J135" t="str">
        <f t="shared" si="7"/>
        <v>Other</v>
      </c>
      <c r="K135" s="1">
        <f t="shared" si="8"/>
        <v>12799</v>
      </c>
    </row>
    <row r="136" spans="1:11">
      <c r="A136">
        <v>1</v>
      </c>
      <c r="B136">
        <v>3</v>
      </c>
      <c r="C136" s="1">
        <v>7388</v>
      </c>
      <c r="D136" s="1">
        <v>1882</v>
      </c>
      <c r="E136" s="1">
        <v>2174</v>
      </c>
      <c r="F136" s="1">
        <v>720</v>
      </c>
      <c r="G136" s="1">
        <v>47</v>
      </c>
      <c r="H136" s="1">
        <v>537</v>
      </c>
      <c r="I136" t="str">
        <f t="shared" si="6"/>
        <v>Horeca</v>
      </c>
      <c r="J136" t="str">
        <f t="shared" si="7"/>
        <v>Other</v>
      </c>
      <c r="K136" s="1">
        <f t="shared" si="8"/>
        <v>12748</v>
      </c>
    </row>
    <row r="137" spans="1:11">
      <c r="A137">
        <v>1</v>
      </c>
      <c r="B137">
        <v>3</v>
      </c>
      <c r="C137" s="1">
        <v>6300</v>
      </c>
      <c r="D137" s="1">
        <v>1289</v>
      </c>
      <c r="E137" s="1">
        <v>2591</v>
      </c>
      <c r="F137" s="1">
        <v>1170</v>
      </c>
      <c r="G137" s="1">
        <v>199</v>
      </c>
      <c r="H137" s="1">
        <v>326</v>
      </c>
      <c r="I137" t="str">
        <f t="shared" si="6"/>
        <v>Horeca</v>
      </c>
      <c r="J137" t="str">
        <f t="shared" si="7"/>
        <v>Other</v>
      </c>
      <c r="K137" s="1">
        <f t="shared" si="8"/>
        <v>11875</v>
      </c>
    </row>
    <row r="138" spans="1:11">
      <c r="A138">
        <v>1</v>
      </c>
      <c r="B138">
        <v>3</v>
      </c>
      <c r="C138" s="1">
        <v>4625</v>
      </c>
      <c r="D138" s="1">
        <v>8579</v>
      </c>
      <c r="E138" s="1">
        <v>7030</v>
      </c>
      <c r="F138" s="1">
        <v>4575</v>
      </c>
      <c r="G138" s="1">
        <v>2447</v>
      </c>
      <c r="H138" s="1">
        <v>1542</v>
      </c>
      <c r="I138" t="str">
        <f t="shared" si="6"/>
        <v>Horeca</v>
      </c>
      <c r="J138" t="str">
        <f t="shared" si="7"/>
        <v>Other</v>
      </c>
      <c r="K138" s="1">
        <f t="shared" si="8"/>
        <v>28798</v>
      </c>
    </row>
    <row r="139" spans="1:11">
      <c r="A139">
        <v>1</v>
      </c>
      <c r="B139">
        <v>3</v>
      </c>
      <c r="C139" s="1">
        <v>3087</v>
      </c>
      <c r="D139" s="1">
        <v>8080</v>
      </c>
      <c r="E139" s="1">
        <v>8282</v>
      </c>
      <c r="F139" s="1">
        <v>661</v>
      </c>
      <c r="G139" s="1">
        <v>721</v>
      </c>
      <c r="H139" s="1">
        <v>36</v>
      </c>
      <c r="I139" t="str">
        <f t="shared" si="6"/>
        <v>Horeca</v>
      </c>
      <c r="J139" t="str">
        <f t="shared" si="7"/>
        <v>Other</v>
      </c>
      <c r="K139" s="1">
        <f t="shared" si="8"/>
        <v>20867</v>
      </c>
    </row>
    <row r="140" spans="1:11">
      <c r="A140">
        <v>1</v>
      </c>
      <c r="B140">
        <v>3</v>
      </c>
      <c r="C140" s="1">
        <v>13537</v>
      </c>
      <c r="D140" s="1">
        <v>4257</v>
      </c>
      <c r="E140" s="1">
        <v>5034</v>
      </c>
      <c r="F140" s="1">
        <v>155</v>
      </c>
      <c r="G140" s="1">
        <v>249</v>
      </c>
      <c r="H140" s="1">
        <v>3271</v>
      </c>
      <c r="I140" t="str">
        <f t="shared" si="6"/>
        <v>Horeca</v>
      </c>
      <c r="J140" t="str">
        <f t="shared" si="7"/>
        <v>Other</v>
      </c>
      <c r="K140" s="1">
        <f t="shared" si="8"/>
        <v>26503</v>
      </c>
    </row>
    <row r="141" spans="1:11">
      <c r="A141">
        <v>1</v>
      </c>
      <c r="B141">
        <v>3</v>
      </c>
      <c r="C141" s="1">
        <v>5387</v>
      </c>
      <c r="D141" s="1">
        <v>4979</v>
      </c>
      <c r="E141" s="1">
        <v>3343</v>
      </c>
      <c r="F141" s="1">
        <v>825</v>
      </c>
      <c r="G141" s="1">
        <v>637</v>
      </c>
      <c r="H141" s="1">
        <v>929</v>
      </c>
      <c r="I141" t="str">
        <f t="shared" si="6"/>
        <v>Horeca</v>
      </c>
      <c r="J141" t="str">
        <f t="shared" si="7"/>
        <v>Other</v>
      </c>
      <c r="K141" s="1">
        <f t="shared" si="8"/>
        <v>16100</v>
      </c>
    </row>
    <row r="142" spans="1:11">
      <c r="A142">
        <v>1</v>
      </c>
      <c r="B142">
        <v>3</v>
      </c>
      <c r="C142" s="1">
        <v>17623</v>
      </c>
      <c r="D142" s="1">
        <v>4280</v>
      </c>
      <c r="E142" s="1">
        <v>7305</v>
      </c>
      <c r="F142" s="1">
        <v>2279</v>
      </c>
      <c r="G142" s="1">
        <v>960</v>
      </c>
      <c r="H142" s="1">
        <v>2616</v>
      </c>
      <c r="I142" t="str">
        <f t="shared" si="6"/>
        <v>Horeca</v>
      </c>
      <c r="J142" t="str">
        <f t="shared" si="7"/>
        <v>Other</v>
      </c>
      <c r="K142" s="1">
        <f t="shared" si="8"/>
        <v>35063</v>
      </c>
    </row>
    <row r="143" spans="1:11">
      <c r="A143">
        <v>1</v>
      </c>
      <c r="B143">
        <v>3</v>
      </c>
      <c r="C143" s="1">
        <v>30379</v>
      </c>
      <c r="D143" s="1">
        <v>13252</v>
      </c>
      <c r="E143" s="1">
        <v>5189</v>
      </c>
      <c r="F143" s="1">
        <v>321</v>
      </c>
      <c r="G143" s="1">
        <v>51</v>
      </c>
      <c r="H143" s="1">
        <v>1450</v>
      </c>
      <c r="I143" t="str">
        <f t="shared" si="6"/>
        <v>Horeca</v>
      </c>
      <c r="J143" t="str">
        <f t="shared" si="7"/>
        <v>Other</v>
      </c>
      <c r="K143" s="1">
        <f t="shared" si="8"/>
        <v>50642</v>
      </c>
    </row>
    <row r="144" spans="1:11">
      <c r="A144">
        <v>1</v>
      </c>
      <c r="B144">
        <v>3</v>
      </c>
      <c r="C144" s="1">
        <v>37036</v>
      </c>
      <c r="D144" s="1">
        <v>7152</v>
      </c>
      <c r="E144" s="1">
        <v>8253</v>
      </c>
      <c r="F144" s="1">
        <v>2995</v>
      </c>
      <c r="G144" s="1">
        <v>20</v>
      </c>
      <c r="H144" s="1">
        <v>3</v>
      </c>
      <c r="I144" t="str">
        <f t="shared" si="6"/>
        <v>Horeca</v>
      </c>
      <c r="J144" t="str">
        <f t="shared" si="7"/>
        <v>Other</v>
      </c>
      <c r="K144" s="1">
        <f t="shared" si="8"/>
        <v>55459</v>
      </c>
    </row>
    <row r="145" spans="1:11">
      <c r="A145">
        <v>1</v>
      </c>
      <c r="B145">
        <v>3</v>
      </c>
      <c r="C145" s="1">
        <v>10405</v>
      </c>
      <c r="D145" s="1">
        <v>1596</v>
      </c>
      <c r="E145" s="1">
        <v>1096</v>
      </c>
      <c r="F145" s="1">
        <v>8425</v>
      </c>
      <c r="G145" s="1">
        <v>399</v>
      </c>
      <c r="H145" s="1">
        <v>318</v>
      </c>
      <c r="I145" t="str">
        <f t="shared" si="6"/>
        <v>Horeca</v>
      </c>
      <c r="J145" t="str">
        <f t="shared" si="7"/>
        <v>Other</v>
      </c>
      <c r="K145" s="1">
        <f t="shared" si="8"/>
        <v>22239</v>
      </c>
    </row>
    <row r="146" spans="1:11">
      <c r="A146">
        <v>1</v>
      </c>
      <c r="B146">
        <v>3</v>
      </c>
      <c r="C146" s="1">
        <v>18827</v>
      </c>
      <c r="D146" s="1">
        <v>3677</v>
      </c>
      <c r="E146" s="1">
        <v>1988</v>
      </c>
      <c r="F146" s="1">
        <v>118</v>
      </c>
      <c r="G146" s="1">
        <v>516</v>
      </c>
      <c r="H146" s="1">
        <v>201</v>
      </c>
      <c r="I146" t="str">
        <f t="shared" si="6"/>
        <v>Horeca</v>
      </c>
      <c r="J146" t="str">
        <f t="shared" si="7"/>
        <v>Other</v>
      </c>
      <c r="K146" s="1">
        <f t="shared" si="8"/>
        <v>25327</v>
      </c>
    </row>
    <row r="147" spans="1:11">
      <c r="A147">
        <v>2</v>
      </c>
      <c r="B147">
        <v>3</v>
      </c>
      <c r="C147" s="1">
        <v>22039</v>
      </c>
      <c r="D147" s="1">
        <v>8384</v>
      </c>
      <c r="E147" s="1">
        <v>34792</v>
      </c>
      <c r="F147" s="1">
        <v>42</v>
      </c>
      <c r="G147" s="1">
        <v>12591</v>
      </c>
      <c r="H147" s="1">
        <v>4430</v>
      </c>
      <c r="I147" t="str">
        <f t="shared" si="6"/>
        <v>Retail</v>
      </c>
      <c r="J147" t="str">
        <f t="shared" si="7"/>
        <v>Other</v>
      </c>
      <c r="K147" s="1">
        <f t="shared" si="8"/>
        <v>82278</v>
      </c>
    </row>
    <row r="148" spans="1:11">
      <c r="A148">
        <v>1</v>
      </c>
      <c r="B148">
        <v>3</v>
      </c>
      <c r="C148" s="1">
        <v>7769</v>
      </c>
      <c r="D148" s="1">
        <v>1936</v>
      </c>
      <c r="E148" s="1">
        <v>2177</v>
      </c>
      <c r="F148" s="1">
        <v>926</v>
      </c>
      <c r="G148" s="1">
        <v>73</v>
      </c>
      <c r="H148" s="1">
        <v>520</v>
      </c>
      <c r="I148" t="str">
        <f t="shared" si="6"/>
        <v>Horeca</v>
      </c>
      <c r="J148" t="str">
        <f t="shared" si="7"/>
        <v>Other</v>
      </c>
      <c r="K148" s="1">
        <f t="shared" si="8"/>
        <v>13401</v>
      </c>
    </row>
    <row r="149" spans="1:11">
      <c r="A149">
        <v>1</v>
      </c>
      <c r="B149">
        <v>3</v>
      </c>
      <c r="C149" s="1">
        <v>9203</v>
      </c>
      <c r="D149" s="1">
        <v>3373</v>
      </c>
      <c r="E149" s="1">
        <v>2707</v>
      </c>
      <c r="F149" s="1">
        <v>1286</v>
      </c>
      <c r="G149" s="1">
        <v>1082</v>
      </c>
      <c r="H149" s="1">
        <v>526</v>
      </c>
      <c r="I149" t="str">
        <f t="shared" si="6"/>
        <v>Horeca</v>
      </c>
      <c r="J149" t="str">
        <f t="shared" si="7"/>
        <v>Other</v>
      </c>
      <c r="K149" s="1">
        <f t="shared" si="8"/>
        <v>18177</v>
      </c>
    </row>
    <row r="150" spans="1:11">
      <c r="A150">
        <v>1</v>
      </c>
      <c r="B150">
        <v>3</v>
      </c>
      <c r="C150" s="1">
        <v>5924</v>
      </c>
      <c r="D150" s="1">
        <v>584</v>
      </c>
      <c r="E150" s="1">
        <v>542</v>
      </c>
      <c r="F150" s="1">
        <v>4052</v>
      </c>
      <c r="G150" s="1">
        <v>283</v>
      </c>
      <c r="H150" s="1">
        <v>434</v>
      </c>
      <c r="I150" t="str">
        <f t="shared" si="6"/>
        <v>Horeca</v>
      </c>
      <c r="J150" t="str">
        <f t="shared" si="7"/>
        <v>Other</v>
      </c>
      <c r="K150" s="1">
        <f t="shared" si="8"/>
        <v>11819</v>
      </c>
    </row>
    <row r="151" spans="1:11">
      <c r="A151">
        <v>1</v>
      </c>
      <c r="B151">
        <v>3</v>
      </c>
      <c r="C151" s="1">
        <v>31812</v>
      </c>
      <c r="D151" s="1">
        <v>1433</v>
      </c>
      <c r="E151" s="1">
        <v>1651</v>
      </c>
      <c r="F151" s="1">
        <v>800</v>
      </c>
      <c r="G151" s="1">
        <v>113</v>
      </c>
      <c r="H151" s="1">
        <v>1440</v>
      </c>
      <c r="I151" t="str">
        <f t="shared" si="6"/>
        <v>Horeca</v>
      </c>
      <c r="J151" t="str">
        <f t="shared" si="7"/>
        <v>Other</v>
      </c>
      <c r="K151" s="1">
        <f t="shared" si="8"/>
        <v>37249</v>
      </c>
    </row>
    <row r="152" spans="1:11">
      <c r="A152">
        <v>1</v>
      </c>
      <c r="B152">
        <v>3</v>
      </c>
      <c r="C152" s="1">
        <v>16225</v>
      </c>
      <c r="D152" s="1">
        <v>1825</v>
      </c>
      <c r="E152" s="1">
        <v>1765</v>
      </c>
      <c r="F152" s="1">
        <v>853</v>
      </c>
      <c r="G152" s="1">
        <v>170</v>
      </c>
      <c r="H152" s="1">
        <v>1067</v>
      </c>
      <c r="I152" t="str">
        <f t="shared" si="6"/>
        <v>Horeca</v>
      </c>
      <c r="J152" t="str">
        <f t="shared" si="7"/>
        <v>Other</v>
      </c>
      <c r="K152" s="1">
        <f t="shared" si="8"/>
        <v>21905</v>
      </c>
    </row>
    <row r="153" spans="1:11">
      <c r="A153">
        <v>1</v>
      </c>
      <c r="B153">
        <v>3</v>
      </c>
      <c r="C153" s="1">
        <v>1289</v>
      </c>
      <c r="D153" s="1">
        <v>3328</v>
      </c>
      <c r="E153" s="1">
        <v>2022</v>
      </c>
      <c r="F153" s="1">
        <v>531</v>
      </c>
      <c r="G153" s="1">
        <v>255</v>
      </c>
      <c r="H153" s="1">
        <v>1774</v>
      </c>
      <c r="I153" t="str">
        <f t="shared" si="6"/>
        <v>Horeca</v>
      </c>
      <c r="J153" t="str">
        <f t="shared" si="7"/>
        <v>Other</v>
      </c>
      <c r="K153" s="1">
        <f t="shared" si="8"/>
        <v>9199</v>
      </c>
    </row>
    <row r="154" spans="1:11">
      <c r="A154">
        <v>1</v>
      </c>
      <c r="B154">
        <v>3</v>
      </c>
      <c r="C154" s="1">
        <v>18840</v>
      </c>
      <c r="D154" s="1">
        <v>1371</v>
      </c>
      <c r="E154" s="1">
        <v>3135</v>
      </c>
      <c r="F154" s="1">
        <v>3001</v>
      </c>
      <c r="G154" s="1">
        <v>352</v>
      </c>
      <c r="H154" s="1">
        <v>184</v>
      </c>
      <c r="I154" t="str">
        <f t="shared" si="6"/>
        <v>Horeca</v>
      </c>
      <c r="J154" t="str">
        <f t="shared" si="7"/>
        <v>Other</v>
      </c>
      <c r="K154" s="1">
        <f t="shared" si="8"/>
        <v>26883</v>
      </c>
    </row>
    <row r="155" spans="1:11">
      <c r="A155">
        <v>1</v>
      </c>
      <c r="B155">
        <v>3</v>
      </c>
      <c r="C155" s="1">
        <v>3463</v>
      </c>
      <c r="D155" s="1">
        <v>9250</v>
      </c>
      <c r="E155" s="1">
        <v>2368</v>
      </c>
      <c r="F155" s="1">
        <v>779</v>
      </c>
      <c r="G155" s="1">
        <v>302</v>
      </c>
      <c r="H155" s="1">
        <v>1627</v>
      </c>
      <c r="I155" t="str">
        <f t="shared" si="6"/>
        <v>Horeca</v>
      </c>
      <c r="J155" t="str">
        <f t="shared" si="7"/>
        <v>Other</v>
      </c>
      <c r="K155" s="1">
        <f t="shared" si="8"/>
        <v>17789</v>
      </c>
    </row>
    <row r="156" spans="1:11">
      <c r="A156">
        <v>1</v>
      </c>
      <c r="B156">
        <v>3</v>
      </c>
      <c r="C156" s="1">
        <v>622</v>
      </c>
      <c r="D156" s="1">
        <v>55</v>
      </c>
      <c r="E156" s="1">
        <v>137</v>
      </c>
      <c r="F156" s="1">
        <v>75</v>
      </c>
      <c r="G156" s="1">
        <v>7</v>
      </c>
      <c r="H156" s="1">
        <v>8</v>
      </c>
      <c r="I156" t="str">
        <f t="shared" si="6"/>
        <v>Horeca</v>
      </c>
      <c r="J156" t="str">
        <f t="shared" si="7"/>
        <v>Other</v>
      </c>
      <c r="K156" s="1">
        <f t="shared" si="8"/>
        <v>904</v>
      </c>
    </row>
    <row r="157" spans="1:11">
      <c r="A157">
        <v>2</v>
      </c>
      <c r="B157">
        <v>3</v>
      </c>
      <c r="C157" s="1">
        <v>1989</v>
      </c>
      <c r="D157" s="1">
        <v>10690</v>
      </c>
      <c r="E157" s="1">
        <v>19460</v>
      </c>
      <c r="F157" s="1">
        <v>233</v>
      </c>
      <c r="G157" s="1">
        <v>11577</v>
      </c>
      <c r="H157" s="1">
        <v>2153</v>
      </c>
      <c r="I157" t="str">
        <f t="shared" si="6"/>
        <v>Retail</v>
      </c>
      <c r="J157" t="str">
        <f t="shared" si="7"/>
        <v>Other</v>
      </c>
      <c r="K157" s="1">
        <f t="shared" si="8"/>
        <v>46102</v>
      </c>
    </row>
    <row r="158" spans="1:11">
      <c r="A158">
        <v>2</v>
      </c>
      <c r="B158">
        <v>3</v>
      </c>
      <c r="C158" s="1">
        <v>3830</v>
      </c>
      <c r="D158" s="1">
        <v>5291</v>
      </c>
      <c r="E158" s="1">
        <v>14855</v>
      </c>
      <c r="F158" s="1">
        <v>317</v>
      </c>
      <c r="G158" s="1">
        <v>6694</v>
      </c>
      <c r="H158" s="1">
        <v>3182</v>
      </c>
      <c r="I158" t="str">
        <f t="shared" si="6"/>
        <v>Retail</v>
      </c>
      <c r="J158" t="str">
        <f t="shared" si="7"/>
        <v>Other</v>
      </c>
      <c r="K158" s="1">
        <f t="shared" si="8"/>
        <v>34169</v>
      </c>
    </row>
    <row r="159" spans="1:11">
      <c r="A159">
        <v>1</v>
      </c>
      <c r="B159">
        <v>3</v>
      </c>
      <c r="C159" s="1">
        <v>17773</v>
      </c>
      <c r="D159" s="1">
        <v>1366</v>
      </c>
      <c r="E159" s="1">
        <v>2474</v>
      </c>
      <c r="F159" s="1">
        <v>3378</v>
      </c>
      <c r="G159" s="1">
        <v>811</v>
      </c>
      <c r="H159" s="1">
        <v>418</v>
      </c>
      <c r="I159" t="str">
        <f t="shared" si="6"/>
        <v>Horeca</v>
      </c>
      <c r="J159" t="str">
        <f t="shared" si="7"/>
        <v>Other</v>
      </c>
      <c r="K159" s="1">
        <f t="shared" si="8"/>
        <v>26220</v>
      </c>
    </row>
    <row r="160" spans="1:11">
      <c r="A160">
        <v>2</v>
      </c>
      <c r="B160">
        <v>3</v>
      </c>
      <c r="C160" s="1">
        <v>2861</v>
      </c>
      <c r="D160" s="1">
        <v>6570</v>
      </c>
      <c r="E160" s="1">
        <v>9618</v>
      </c>
      <c r="F160" s="1">
        <v>930</v>
      </c>
      <c r="G160" s="1">
        <v>4004</v>
      </c>
      <c r="H160" s="1">
        <v>1682</v>
      </c>
      <c r="I160" t="str">
        <f t="shared" si="6"/>
        <v>Retail</v>
      </c>
      <c r="J160" t="str">
        <f t="shared" si="7"/>
        <v>Other</v>
      </c>
      <c r="K160" s="1">
        <f t="shared" si="8"/>
        <v>25665</v>
      </c>
    </row>
    <row r="161" spans="1:11">
      <c r="A161">
        <v>2</v>
      </c>
      <c r="B161">
        <v>3</v>
      </c>
      <c r="C161" s="1">
        <v>355</v>
      </c>
      <c r="D161" s="1">
        <v>7704</v>
      </c>
      <c r="E161" s="1">
        <v>14682</v>
      </c>
      <c r="F161" s="1">
        <v>398</v>
      </c>
      <c r="G161" s="1">
        <v>8077</v>
      </c>
      <c r="H161" s="1">
        <v>303</v>
      </c>
      <c r="I161" t="str">
        <f t="shared" si="6"/>
        <v>Retail</v>
      </c>
      <c r="J161" t="str">
        <f t="shared" si="7"/>
        <v>Other</v>
      </c>
      <c r="K161" s="1">
        <f t="shared" si="8"/>
        <v>31519</v>
      </c>
    </row>
    <row r="162" spans="1:11">
      <c r="A162">
        <v>2</v>
      </c>
      <c r="B162">
        <v>3</v>
      </c>
      <c r="C162" s="1">
        <v>1725</v>
      </c>
      <c r="D162" s="1">
        <v>3651</v>
      </c>
      <c r="E162" s="1">
        <v>12822</v>
      </c>
      <c r="F162" s="1">
        <v>824</v>
      </c>
      <c r="G162" s="1">
        <v>4424</v>
      </c>
      <c r="H162" s="1">
        <v>2157</v>
      </c>
      <c r="I162" t="str">
        <f t="shared" si="6"/>
        <v>Retail</v>
      </c>
      <c r="J162" t="str">
        <f t="shared" si="7"/>
        <v>Other</v>
      </c>
      <c r="K162" s="1">
        <f t="shared" si="8"/>
        <v>25603</v>
      </c>
    </row>
    <row r="163" spans="1:11">
      <c r="A163">
        <v>1</v>
      </c>
      <c r="B163">
        <v>3</v>
      </c>
      <c r="C163" s="1">
        <v>12434</v>
      </c>
      <c r="D163" s="1">
        <v>540</v>
      </c>
      <c r="E163" s="1">
        <v>283</v>
      </c>
      <c r="F163" s="1">
        <v>1092</v>
      </c>
      <c r="G163" s="1">
        <v>3</v>
      </c>
      <c r="H163" s="1">
        <v>2233</v>
      </c>
      <c r="I163" t="str">
        <f t="shared" si="6"/>
        <v>Horeca</v>
      </c>
      <c r="J163" t="str">
        <f t="shared" si="7"/>
        <v>Other</v>
      </c>
      <c r="K163" s="1">
        <f t="shared" si="8"/>
        <v>16585</v>
      </c>
    </row>
    <row r="164" spans="1:11">
      <c r="A164">
        <v>1</v>
      </c>
      <c r="B164">
        <v>3</v>
      </c>
      <c r="C164" s="1">
        <v>15177</v>
      </c>
      <c r="D164" s="1">
        <v>2024</v>
      </c>
      <c r="E164" s="1">
        <v>3810</v>
      </c>
      <c r="F164" s="1">
        <v>2665</v>
      </c>
      <c r="G164" s="1">
        <v>232</v>
      </c>
      <c r="H164" s="1">
        <v>610</v>
      </c>
      <c r="I164" t="str">
        <f t="shared" si="6"/>
        <v>Horeca</v>
      </c>
      <c r="J164" t="str">
        <f t="shared" si="7"/>
        <v>Other</v>
      </c>
      <c r="K164" s="1">
        <f t="shared" si="8"/>
        <v>24518</v>
      </c>
    </row>
    <row r="165" spans="1:11">
      <c r="A165">
        <v>2</v>
      </c>
      <c r="B165">
        <v>3</v>
      </c>
      <c r="C165" s="1">
        <v>5531</v>
      </c>
      <c r="D165" s="1">
        <v>15726</v>
      </c>
      <c r="E165" s="1">
        <v>26870</v>
      </c>
      <c r="F165" s="1">
        <v>2367</v>
      </c>
      <c r="G165" s="1">
        <v>13726</v>
      </c>
      <c r="H165" s="1">
        <v>446</v>
      </c>
      <c r="I165" t="str">
        <f t="shared" si="6"/>
        <v>Retail</v>
      </c>
      <c r="J165" t="str">
        <f t="shared" si="7"/>
        <v>Other</v>
      </c>
      <c r="K165" s="1">
        <f t="shared" si="8"/>
        <v>64666</v>
      </c>
    </row>
    <row r="166" spans="1:11">
      <c r="A166">
        <v>2</v>
      </c>
      <c r="B166">
        <v>3</v>
      </c>
      <c r="C166" s="1">
        <v>5224</v>
      </c>
      <c r="D166" s="1">
        <v>7603</v>
      </c>
      <c r="E166" s="1">
        <v>8584</v>
      </c>
      <c r="F166" s="1">
        <v>2540</v>
      </c>
      <c r="G166" s="1">
        <v>3674</v>
      </c>
      <c r="H166" s="1">
        <v>238</v>
      </c>
      <c r="I166" t="str">
        <f t="shared" si="6"/>
        <v>Retail</v>
      </c>
      <c r="J166" t="str">
        <f t="shared" si="7"/>
        <v>Other</v>
      </c>
      <c r="K166" s="1">
        <f t="shared" si="8"/>
        <v>27863</v>
      </c>
    </row>
    <row r="167" spans="1:11">
      <c r="A167">
        <v>2</v>
      </c>
      <c r="B167">
        <v>3</v>
      </c>
      <c r="C167" s="1">
        <v>15615</v>
      </c>
      <c r="D167" s="1">
        <v>12653</v>
      </c>
      <c r="E167" s="1">
        <v>19858</v>
      </c>
      <c r="F167" s="1">
        <v>4425</v>
      </c>
      <c r="G167" s="1">
        <v>7108</v>
      </c>
      <c r="H167" s="1">
        <v>2379</v>
      </c>
      <c r="I167" t="str">
        <f t="shared" si="6"/>
        <v>Retail</v>
      </c>
      <c r="J167" t="str">
        <f t="shared" si="7"/>
        <v>Other</v>
      </c>
      <c r="K167" s="1">
        <f t="shared" si="8"/>
        <v>62038</v>
      </c>
    </row>
    <row r="168" spans="1:11">
      <c r="A168">
        <v>2</v>
      </c>
      <c r="B168">
        <v>3</v>
      </c>
      <c r="C168" s="1">
        <v>4822</v>
      </c>
      <c r="D168" s="1">
        <v>6721</v>
      </c>
      <c r="E168" s="1">
        <v>9170</v>
      </c>
      <c r="F168" s="1">
        <v>993</v>
      </c>
      <c r="G168" s="1">
        <v>4973</v>
      </c>
      <c r="H168" s="1">
        <v>3637</v>
      </c>
      <c r="I168" t="str">
        <f t="shared" si="6"/>
        <v>Retail</v>
      </c>
      <c r="J168" t="str">
        <f t="shared" si="7"/>
        <v>Other</v>
      </c>
      <c r="K168" s="1">
        <f t="shared" si="8"/>
        <v>30316</v>
      </c>
    </row>
    <row r="169" spans="1:11">
      <c r="A169">
        <v>1</v>
      </c>
      <c r="B169">
        <v>3</v>
      </c>
      <c r="C169" s="1">
        <v>2926</v>
      </c>
      <c r="D169" s="1">
        <v>3195</v>
      </c>
      <c r="E169" s="1">
        <v>3268</v>
      </c>
      <c r="F169" s="1">
        <v>405</v>
      </c>
      <c r="G169" s="1">
        <v>1680</v>
      </c>
      <c r="H169" s="1">
        <v>693</v>
      </c>
      <c r="I169" t="str">
        <f t="shared" si="6"/>
        <v>Horeca</v>
      </c>
      <c r="J169" t="str">
        <f t="shared" si="7"/>
        <v>Other</v>
      </c>
      <c r="K169" s="1">
        <f t="shared" si="8"/>
        <v>12167</v>
      </c>
    </row>
    <row r="170" spans="1:11">
      <c r="A170">
        <v>1</v>
      </c>
      <c r="B170">
        <v>3</v>
      </c>
      <c r="C170" s="1">
        <v>5809</v>
      </c>
      <c r="D170" s="1">
        <v>735</v>
      </c>
      <c r="E170" s="1">
        <v>803</v>
      </c>
      <c r="F170" s="1">
        <v>1393</v>
      </c>
      <c r="G170" s="1">
        <v>79</v>
      </c>
      <c r="H170" s="1">
        <v>429</v>
      </c>
      <c r="I170" t="str">
        <f t="shared" si="6"/>
        <v>Horeca</v>
      </c>
      <c r="J170" t="str">
        <f t="shared" si="7"/>
        <v>Other</v>
      </c>
      <c r="K170" s="1">
        <f t="shared" si="8"/>
        <v>9248</v>
      </c>
    </row>
    <row r="171" spans="1:11">
      <c r="A171">
        <v>1</v>
      </c>
      <c r="B171">
        <v>3</v>
      </c>
      <c r="C171" s="1">
        <v>5414</v>
      </c>
      <c r="D171" s="1">
        <v>717</v>
      </c>
      <c r="E171" s="1">
        <v>2155</v>
      </c>
      <c r="F171" s="1">
        <v>2399</v>
      </c>
      <c r="G171" s="1">
        <v>69</v>
      </c>
      <c r="H171" s="1">
        <v>750</v>
      </c>
      <c r="I171" t="str">
        <f t="shared" si="6"/>
        <v>Horeca</v>
      </c>
      <c r="J171" t="str">
        <f t="shared" si="7"/>
        <v>Other</v>
      </c>
      <c r="K171" s="1">
        <f t="shared" si="8"/>
        <v>11504</v>
      </c>
    </row>
    <row r="172" spans="1:11">
      <c r="A172">
        <v>2</v>
      </c>
      <c r="B172">
        <v>3</v>
      </c>
      <c r="C172" s="1">
        <v>260</v>
      </c>
      <c r="D172" s="1">
        <v>8675</v>
      </c>
      <c r="E172" s="1">
        <v>13430</v>
      </c>
      <c r="F172" s="1">
        <v>1116</v>
      </c>
      <c r="G172" s="1">
        <v>7015</v>
      </c>
      <c r="H172" s="1">
        <v>323</v>
      </c>
      <c r="I172" t="str">
        <f t="shared" si="6"/>
        <v>Retail</v>
      </c>
      <c r="J172" t="str">
        <f t="shared" si="7"/>
        <v>Other</v>
      </c>
      <c r="K172" s="1">
        <f t="shared" si="8"/>
        <v>30819</v>
      </c>
    </row>
    <row r="173" spans="1:11">
      <c r="A173">
        <v>2</v>
      </c>
      <c r="B173">
        <v>3</v>
      </c>
      <c r="C173" s="1">
        <v>200</v>
      </c>
      <c r="D173" s="1">
        <v>25862</v>
      </c>
      <c r="E173" s="1">
        <v>19816</v>
      </c>
      <c r="F173" s="1">
        <v>651</v>
      </c>
      <c r="G173" s="1">
        <v>8773</v>
      </c>
      <c r="H173" s="1">
        <v>6250</v>
      </c>
      <c r="I173" t="str">
        <f t="shared" si="6"/>
        <v>Retail</v>
      </c>
      <c r="J173" t="str">
        <f t="shared" si="7"/>
        <v>Other</v>
      </c>
      <c r="K173" s="1">
        <f t="shared" si="8"/>
        <v>61552</v>
      </c>
    </row>
    <row r="174" spans="1:11">
      <c r="A174">
        <v>1</v>
      </c>
      <c r="B174">
        <v>3</v>
      </c>
      <c r="C174" s="1">
        <v>955</v>
      </c>
      <c r="D174" s="1">
        <v>5479</v>
      </c>
      <c r="E174" s="1">
        <v>6536</v>
      </c>
      <c r="F174" s="1">
        <v>333</v>
      </c>
      <c r="G174" s="1">
        <v>2840</v>
      </c>
      <c r="H174" s="1">
        <v>707</v>
      </c>
      <c r="I174" t="str">
        <f t="shared" si="6"/>
        <v>Horeca</v>
      </c>
      <c r="J174" t="str">
        <f t="shared" si="7"/>
        <v>Other</v>
      </c>
      <c r="K174" s="1">
        <f t="shared" si="8"/>
        <v>16850</v>
      </c>
    </row>
    <row r="175" spans="1:11">
      <c r="A175">
        <v>2</v>
      </c>
      <c r="B175">
        <v>3</v>
      </c>
      <c r="C175" s="1">
        <v>514</v>
      </c>
      <c r="D175" s="1">
        <v>7677</v>
      </c>
      <c r="E175" s="1">
        <v>19805</v>
      </c>
      <c r="F175" s="1">
        <v>937</v>
      </c>
      <c r="G175" s="1">
        <v>9836</v>
      </c>
      <c r="H175" s="1">
        <v>716</v>
      </c>
      <c r="I175" t="str">
        <f t="shared" si="6"/>
        <v>Retail</v>
      </c>
      <c r="J175" t="str">
        <f t="shared" si="7"/>
        <v>Other</v>
      </c>
      <c r="K175" s="1">
        <f t="shared" si="8"/>
        <v>39485</v>
      </c>
    </row>
    <row r="176" spans="1:11">
      <c r="A176">
        <v>1</v>
      </c>
      <c r="B176">
        <v>3</v>
      </c>
      <c r="C176" s="1">
        <v>286</v>
      </c>
      <c r="D176" s="1">
        <v>1208</v>
      </c>
      <c r="E176" s="1">
        <v>5241</v>
      </c>
      <c r="F176" s="1">
        <v>2515</v>
      </c>
      <c r="G176" s="1">
        <v>153</v>
      </c>
      <c r="H176" s="1">
        <v>1442</v>
      </c>
      <c r="I176" t="str">
        <f t="shared" si="6"/>
        <v>Horeca</v>
      </c>
      <c r="J176" t="str">
        <f t="shared" si="7"/>
        <v>Other</v>
      </c>
      <c r="K176" s="1">
        <f t="shared" si="8"/>
        <v>10845</v>
      </c>
    </row>
    <row r="177" spans="1:11">
      <c r="A177">
        <v>2</v>
      </c>
      <c r="B177">
        <v>3</v>
      </c>
      <c r="C177" s="1">
        <v>2343</v>
      </c>
      <c r="D177" s="1">
        <v>7845</v>
      </c>
      <c r="E177" s="1">
        <v>11874</v>
      </c>
      <c r="F177" s="1">
        <v>52</v>
      </c>
      <c r="G177" s="1">
        <v>4196</v>
      </c>
      <c r="H177" s="1">
        <v>1697</v>
      </c>
      <c r="I177" t="str">
        <f t="shared" si="6"/>
        <v>Retail</v>
      </c>
      <c r="J177" t="str">
        <f t="shared" si="7"/>
        <v>Other</v>
      </c>
      <c r="K177" s="1">
        <f t="shared" si="8"/>
        <v>28007</v>
      </c>
    </row>
    <row r="178" spans="1:11">
      <c r="A178">
        <v>1</v>
      </c>
      <c r="B178">
        <v>3</v>
      </c>
      <c r="C178" s="1">
        <v>45640</v>
      </c>
      <c r="D178" s="1">
        <v>6958</v>
      </c>
      <c r="E178" s="1">
        <v>6536</v>
      </c>
      <c r="F178" s="1">
        <v>7368</v>
      </c>
      <c r="G178" s="1">
        <v>1532</v>
      </c>
      <c r="H178" s="1">
        <v>230</v>
      </c>
      <c r="I178" t="str">
        <f t="shared" si="6"/>
        <v>Horeca</v>
      </c>
      <c r="J178" t="str">
        <f t="shared" si="7"/>
        <v>Other</v>
      </c>
      <c r="K178" s="1">
        <f t="shared" si="8"/>
        <v>68264</v>
      </c>
    </row>
    <row r="179" spans="1:11">
      <c r="A179">
        <v>1</v>
      </c>
      <c r="B179">
        <v>3</v>
      </c>
      <c r="C179" s="1">
        <v>12759</v>
      </c>
      <c r="D179" s="1">
        <v>7330</v>
      </c>
      <c r="E179" s="1">
        <v>4533</v>
      </c>
      <c r="F179" s="1">
        <v>1752</v>
      </c>
      <c r="G179" s="1">
        <v>20</v>
      </c>
      <c r="H179" s="1">
        <v>2631</v>
      </c>
      <c r="I179" t="str">
        <f t="shared" si="6"/>
        <v>Horeca</v>
      </c>
      <c r="J179" t="str">
        <f t="shared" si="7"/>
        <v>Other</v>
      </c>
      <c r="K179" s="1">
        <f t="shared" si="8"/>
        <v>29025</v>
      </c>
    </row>
    <row r="180" spans="1:11">
      <c r="A180">
        <v>1</v>
      </c>
      <c r="B180">
        <v>3</v>
      </c>
      <c r="C180" s="1">
        <v>11002</v>
      </c>
      <c r="D180" s="1">
        <v>7075</v>
      </c>
      <c r="E180" s="1">
        <v>4945</v>
      </c>
      <c r="F180" s="1">
        <v>1152</v>
      </c>
      <c r="G180" s="1">
        <v>120</v>
      </c>
      <c r="H180" s="1">
        <v>395</v>
      </c>
      <c r="I180" t="str">
        <f t="shared" si="6"/>
        <v>Horeca</v>
      </c>
      <c r="J180" t="str">
        <f t="shared" si="7"/>
        <v>Other</v>
      </c>
      <c r="K180" s="1">
        <f t="shared" si="8"/>
        <v>24689</v>
      </c>
    </row>
    <row r="181" spans="1:11">
      <c r="A181">
        <v>1</v>
      </c>
      <c r="B181">
        <v>3</v>
      </c>
      <c r="C181" s="1">
        <v>3157</v>
      </c>
      <c r="D181" s="1">
        <v>4888</v>
      </c>
      <c r="E181" s="1">
        <v>2500</v>
      </c>
      <c r="F181" s="1">
        <v>4477</v>
      </c>
      <c r="G181" s="1">
        <v>273</v>
      </c>
      <c r="H181" s="1">
        <v>2165</v>
      </c>
      <c r="I181" t="str">
        <f t="shared" si="6"/>
        <v>Horeca</v>
      </c>
      <c r="J181" t="str">
        <f t="shared" si="7"/>
        <v>Other</v>
      </c>
      <c r="K181" s="1">
        <f t="shared" si="8"/>
        <v>17460</v>
      </c>
    </row>
    <row r="182" spans="1:11">
      <c r="A182">
        <v>1</v>
      </c>
      <c r="B182">
        <v>3</v>
      </c>
      <c r="C182" s="1">
        <v>12356</v>
      </c>
      <c r="D182" s="1">
        <v>6036</v>
      </c>
      <c r="E182" s="1">
        <v>8887</v>
      </c>
      <c r="F182" s="1">
        <v>402</v>
      </c>
      <c r="G182" s="1">
        <v>1382</v>
      </c>
      <c r="H182" s="1">
        <v>2794</v>
      </c>
      <c r="I182" t="str">
        <f t="shared" si="6"/>
        <v>Horeca</v>
      </c>
      <c r="J182" t="str">
        <f t="shared" si="7"/>
        <v>Other</v>
      </c>
      <c r="K182" s="1">
        <f t="shared" si="8"/>
        <v>31857</v>
      </c>
    </row>
    <row r="183" spans="1:11">
      <c r="A183">
        <v>1</v>
      </c>
      <c r="B183">
        <v>3</v>
      </c>
      <c r="C183" s="1">
        <v>112151</v>
      </c>
      <c r="D183" s="1">
        <v>29627</v>
      </c>
      <c r="E183" s="1">
        <v>18148</v>
      </c>
      <c r="F183" s="1">
        <v>16745</v>
      </c>
      <c r="G183" s="1">
        <v>4948</v>
      </c>
      <c r="H183" s="1">
        <v>8550</v>
      </c>
      <c r="I183" t="str">
        <f t="shared" si="6"/>
        <v>Horeca</v>
      </c>
      <c r="J183" t="str">
        <f t="shared" si="7"/>
        <v>Other</v>
      </c>
      <c r="K183" s="1">
        <f t="shared" si="8"/>
        <v>190169</v>
      </c>
    </row>
    <row r="184" spans="1:11">
      <c r="A184">
        <v>1</v>
      </c>
      <c r="B184">
        <v>3</v>
      </c>
      <c r="C184" s="1">
        <v>694</v>
      </c>
      <c r="D184" s="1">
        <v>8533</v>
      </c>
      <c r="E184" s="1">
        <v>10518</v>
      </c>
      <c r="F184" s="1">
        <v>443</v>
      </c>
      <c r="G184" s="1">
        <v>6907</v>
      </c>
      <c r="H184" s="1">
        <v>156</v>
      </c>
      <c r="I184" t="str">
        <f t="shared" si="6"/>
        <v>Horeca</v>
      </c>
      <c r="J184" t="str">
        <f t="shared" si="7"/>
        <v>Other</v>
      </c>
      <c r="K184" s="1">
        <f t="shared" si="8"/>
        <v>27251</v>
      </c>
    </row>
    <row r="185" spans="1:11">
      <c r="A185">
        <v>1</v>
      </c>
      <c r="B185">
        <v>3</v>
      </c>
      <c r="C185" s="1">
        <v>36847</v>
      </c>
      <c r="D185" s="1">
        <v>43950</v>
      </c>
      <c r="E185" s="1">
        <v>20170</v>
      </c>
      <c r="F185" s="1">
        <v>36534</v>
      </c>
      <c r="G185" s="1">
        <v>239</v>
      </c>
      <c r="H185" s="1">
        <v>47943</v>
      </c>
      <c r="I185" t="str">
        <f t="shared" si="6"/>
        <v>Horeca</v>
      </c>
      <c r="J185" t="str">
        <f t="shared" si="7"/>
        <v>Other</v>
      </c>
      <c r="K185" s="1">
        <f t="shared" si="8"/>
        <v>185683</v>
      </c>
    </row>
    <row r="186" spans="1:11">
      <c r="A186">
        <v>1</v>
      </c>
      <c r="B186">
        <v>3</v>
      </c>
      <c r="C186" s="1">
        <v>327</v>
      </c>
      <c r="D186" s="1">
        <v>918</v>
      </c>
      <c r="E186" s="1">
        <v>4710</v>
      </c>
      <c r="F186" s="1">
        <v>74</v>
      </c>
      <c r="G186" s="1">
        <v>334</v>
      </c>
      <c r="H186" s="1">
        <v>11</v>
      </c>
      <c r="I186" t="str">
        <f t="shared" si="6"/>
        <v>Horeca</v>
      </c>
      <c r="J186" t="str">
        <f t="shared" si="7"/>
        <v>Other</v>
      </c>
      <c r="K186" s="1">
        <f t="shared" si="8"/>
        <v>6374</v>
      </c>
    </row>
    <row r="187" spans="1:11">
      <c r="A187">
        <v>1</v>
      </c>
      <c r="B187">
        <v>3</v>
      </c>
      <c r="C187" s="1">
        <v>8170</v>
      </c>
      <c r="D187" s="1">
        <v>6448</v>
      </c>
      <c r="E187" s="1">
        <v>1139</v>
      </c>
      <c r="F187" s="1">
        <v>2181</v>
      </c>
      <c r="G187" s="1">
        <v>58</v>
      </c>
      <c r="H187" s="1">
        <v>247</v>
      </c>
      <c r="I187" t="str">
        <f t="shared" si="6"/>
        <v>Horeca</v>
      </c>
      <c r="J187" t="str">
        <f t="shared" si="7"/>
        <v>Other</v>
      </c>
      <c r="K187" s="1">
        <f t="shared" si="8"/>
        <v>18243</v>
      </c>
    </row>
    <row r="188" spans="1:11">
      <c r="A188">
        <v>1</v>
      </c>
      <c r="B188">
        <v>3</v>
      </c>
      <c r="C188" s="1">
        <v>3009</v>
      </c>
      <c r="D188" s="1">
        <v>521</v>
      </c>
      <c r="E188" s="1">
        <v>854</v>
      </c>
      <c r="F188" s="1">
        <v>3470</v>
      </c>
      <c r="G188" s="1">
        <v>949</v>
      </c>
      <c r="H188" s="1">
        <v>727</v>
      </c>
      <c r="I188" t="str">
        <f t="shared" si="6"/>
        <v>Horeca</v>
      </c>
      <c r="J188" t="str">
        <f t="shared" si="7"/>
        <v>Other</v>
      </c>
      <c r="K188" s="1">
        <f t="shared" si="8"/>
        <v>9530</v>
      </c>
    </row>
    <row r="189" spans="1:11">
      <c r="A189">
        <v>1</v>
      </c>
      <c r="B189">
        <v>3</v>
      </c>
      <c r="C189" s="1">
        <v>2438</v>
      </c>
      <c r="D189" s="1">
        <v>8002</v>
      </c>
      <c r="E189" s="1">
        <v>9819</v>
      </c>
      <c r="F189" s="1">
        <v>6269</v>
      </c>
      <c r="G189" s="1">
        <v>3459</v>
      </c>
      <c r="H189" s="1">
        <v>3</v>
      </c>
      <c r="I189" t="str">
        <f t="shared" si="6"/>
        <v>Horeca</v>
      </c>
      <c r="J189" t="str">
        <f t="shared" si="7"/>
        <v>Other</v>
      </c>
      <c r="K189" s="1">
        <f t="shared" si="8"/>
        <v>29990</v>
      </c>
    </row>
    <row r="190" spans="1:11">
      <c r="A190">
        <v>2</v>
      </c>
      <c r="B190">
        <v>3</v>
      </c>
      <c r="C190" s="1">
        <v>8040</v>
      </c>
      <c r="D190" s="1">
        <v>7639</v>
      </c>
      <c r="E190" s="1">
        <v>11687</v>
      </c>
      <c r="F190" s="1">
        <v>2758</v>
      </c>
      <c r="G190" s="1">
        <v>6839</v>
      </c>
      <c r="H190" s="1">
        <v>404</v>
      </c>
      <c r="I190" t="str">
        <f t="shared" si="6"/>
        <v>Retail</v>
      </c>
      <c r="J190" t="str">
        <f t="shared" si="7"/>
        <v>Other</v>
      </c>
      <c r="K190" s="1">
        <f t="shared" si="8"/>
        <v>37367</v>
      </c>
    </row>
    <row r="191" spans="1:11">
      <c r="A191">
        <v>2</v>
      </c>
      <c r="B191">
        <v>3</v>
      </c>
      <c r="C191" s="1">
        <v>834</v>
      </c>
      <c r="D191" s="1">
        <v>11577</v>
      </c>
      <c r="E191" s="1">
        <v>11522</v>
      </c>
      <c r="F191" s="1">
        <v>275</v>
      </c>
      <c r="G191" s="1">
        <v>4027</v>
      </c>
      <c r="H191" s="1">
        <v>1856</v>
      </c>
      <c r="I191" t="str">
        <f t="shared" si="6"/>
        <v>Retail</v>
      </c>
      <c r="J191" t="str">
        <f t="shared" si="7"/>
        <v>Other</v>
      </c>
      <c r="K191" s="1">
        <f t="shared" si="8"/>
        <v>30091</v>
      </c>
    </row>
    <row r="192" spans="1:11">
      <c r="A192">
        <v>1</v>
      </c>
      <c r="B192">
        <v>3</v>
      </c>
      <c r="C192" s="1">
        <v>16936</v>
      </c>
      <c r="D192" s="1">
        <v>6250</v>
      </c>
      <c r="E192" s="1">
        <v>1981</v>
      </c>
      <c r="F192" s="1">
        <v>7332</v>
      </c>
      <c r="G192" s="1">
        <v>118</v>
      </c>
      <c r="H192" s="1">
        <v>64</v>
      </c>
      <c r="I192" t="str">
        <f t="shared" si="6"/>
        <v>Horeca</v>
      </c>
      <c r="J192" t="str">
        <f t="shared" si="7"/>
        <v>Other</v>
      </c>
      <c r="K192" s="1">
        <f t="shared" si="8"/>
        <v>32681</v>
      </c>
    </row>
    <row r="193" spans="1:11">
      <c r="A193">
        <v>1</v>
      </c>
      <c r="B193">
        <v>3</v>
      </c>
      <c r="C193" s="1">
        <v>13624</v>
      </c>
      <c r="D193" s="1">
        <v>295</v>
      </c>
      <c r="E193" s="1">
        <v>1381</v>
      </c>
      <c r="F193" s="1">
        <v>890</v>
      </c>
      <c r="G193" s="1">
        <v>43</v>
      </c>
      <c r="H193" s="1">
        <v>84</v>
      </c>
      <c r="I193" t="str">
        <f t="shared" si="6"/>
        <v>Horeca</v>
      </c>
      <c r="J193" t="str">
        <f t="shared" si="7"/>
        <v>Other</v>
      </c>
      <c r="K193" s="1">
        <f t="shared" si="8"/>
        <v>16317</v>
      </c>
    </row>
    <row r="194" spans="1:11">
      <c r="A194">
        <v>1</v>
      </c>
      <c r="B194">
        <v>3</v>
      </c>
      <c r="C194" s="1">
        <v>5509</v>
      </c>
      <c r="D194" s="1">
        <v>1461</v>
      </c>
      <c r="E194" s="1">
        <v>2251</v>
      </c>
      <c r="F194" s="1">
        <v>547</v>
      </c>
      <c r="G194" s="1">
        <v>187</v>
      </c>
      <c r="H194" s="1">
        <v>409</v>
      </c>
      <c r="I194" t="str">
        <f t="shared" si="6"/>
        <v>Horeca</v>
      </c>
      <c r="J194" t="str">
        <f t="shared" si="7"/>
        <v>Other</v>
      </c>
      <c r="K194" s="1">
        <f t="shared" si="8"/>
        <v>10364</v>
      </c>
    </row>
    <row r="195" spans="1:11">
      <c r="A195">
        <v>2</v>
      </c>
      <c r="B195">
        <v>3</v>
      </c>
      <c r="C195" s="1">
        <v>180</v>
      </c>
      <c r="D195" s="1">
        <v>3485</v>
      </c>
      <c r="E195" s="1">
        <v>20292</v>
      </c>
      <c r="F195" s="1">
        <v>959</v>
      </c>
      <c r="G195" s="1">
        <v>5618</v>
      </c>
      <c r="H195" s="1">
        <v>666</v>
      </c>
      <c r="I195" t="str">
        <f t="shared" ref="I195" si="9">IF(A195=1,"Horeca",IF(A195=2,"Retail","Check"))</f>
        <v>Retail</v>
      </c>
      <c r="J195" t="str">
        <f t="shared" ref="J195:J258" si="10">IF(B195=1,"Lisbon",IF(B195=2,"Oporto",IF(B195=3,"Other","Check")))</f>
        <v>Other</v>
      </c>
      <c r="K195" s="1">
        <f t="shared" ref="K195:K258" si="11">SUM(C195:H195)</f>
        <v>31200</v>
      </c>
    </row>
    <row r="196" spans="1:11">
      <c r="A196">
        <v>1</v>
      </c>
      <c r="B196">
        <v>3</v>
      </c>
      <c r="C196" s="1">
        <v>7107</v>
      </c>
      <c r="D196" s="1">
        <v>1012</v>
      </c>
      <c r="E196" s="1">
        <v>2974</v>
      </c>
      <c r="F196" s="1">
        <v>806</v>
      </c>
      <c r="G196" s="1">
        <v>355</v>
      </c>
      <c r="H196" s="1">
        <v>1142</v>
      </c>
      <c r="I196" t="str">
        <f>IF(A196=1,"Horeca",IF(A196=2,"Retail","Check"))</f>
        <v>Horeca</v>
      </c>
      <c r="J196" t="str">
        <f t="shared" si="10"/>
        <v>Other</v>
      </c>
      <c r="K196" s="1">
        <f t="shared" si="11"/>
        <v>13396</v>
      </c>
    </row>
    <row r="197" spans="1:11">
      <c r="A197">
        <v>1</v>
      </c>
      <c r="B197">
        <v>3</v>
      </c>
      <c r="C197" s="1">
        <v>17023</v>
      </c>
      <c r="D197" s="1">
        <v>5139</v>
      </c>
      <c r="E197" s="1">
        <v>5230</v>
      </c>
      <c r="F197" s="1">
        <v>7888</v>
      </c>
      <c r="G197" s="1">
        <v>330</v>
      </c>
      <c r="H197" s="1">
        <v>1755</v>
      </c>
      <c r="I197" t="str">
        <f t="shared" ref="I197:I248" si="12">IF(A197=1,"Horeca",IF(A197=2,"Retail","Check"))</f>
        <v>Horeca</v>
      </c>
      <c r="J197" t="str">
        <f t="shared" si="10"/>
        <v>Other</v>
      </c>
      <c r="K197" s="1">
        <f t="shared" si="11"/>
        <v>37365</v>
      </c>
    </row>
    <row r="198" spans="1:11">
      <c r="A198">
        <v>1</v>
      </c>
      <c r="B198">
        <v>1</v>
      </c>
      <c r="C198" s="1">
        <v>30624</v>
      </c>
      <c r="D198" s="1">
        <v>7209</v>
      </c>
      <c r="E198" s="1">
        <v>4897</v>
      </c>
      <c r="F198" s="1">
        <v>18711</v>
      </c>
      <c r="G198" s="1">
        <v>763</v>
      </c>
      <c r="H198" s="1">
        <v>2876</v>
      </c>
      <c r="I198" t="str">
        <f t="shared" si="12"/>
        <v>Horeca</v>
      </c>
      <c r="J198" t="str">
        <f t="shared" si="10"/>
        <v>Lisbon</v>
      </c>
      <c r="K198" s="1">
        <f t="shared" si="11"/>
        <v>65080</v>
      </c>
    </row>
    <row r="199" spans="1:11">
      <c r="A199">
        <v>2</v>
      </c>
      <c r="B199">
        <v>1</v>
      </c>
      <c r="C199" s="1">
        <v>2427</v>
      </c>
      <c r="D199" s="1">
        <v>7097</v>
      </c>
      <c r="E199" s="1">
        <v>10391</v>
      </c>
      <c r="F199" s="1">
        <v>1127</v>
      </c>
      <c r="G199" s="1">
        <v>4314</v>
      </c>
      <c r="H199" s="1">
        <v>1468</v>
      </c>
      <c r="I199" t="str">
        <f t="shared" si="12"/>
        <v>Retail</v>
      </c>
      <c r="J199" t="str">
        <f t="shared" si="10"/>
        <v>Lisbon</v>
      </c>
      <c r="K199" s="1">
        <f t="shared" si="11"/>
        <v>26824</v>
      </c>
    </row>
    <row r="200" spans="1:11">
      <c r="A200">
        <v>1</v>
      </c>
      <c r="B200">
        <v>1</v>
      </c>
      <c r="C200" s="1">
        <v>11686</v>
      </c>
      <c r="D200" s="1">
        <v>2154</v>
      </c>
      <c r="E200" s="1">
        <v>6824</v>
      </c>
      <c r="F200" s="1">
        <v>3527</v>
      </c>
      <c r="G200" s="1">
        <v>592</v>
      </c>
      <c r="H200" s="1">
        <v>697</v>
      </c>
      <c r="I200" t="str">
        <f t="shared" si="12"/>
        <v>Horeca</v>
      </c>
      <c r="J200" t="str">
        <f t="shared" si="10"/>
        <v>Lisbon</v>
      </c>
      <c r="K200" s="1">
        <f t="shared" si="11"/>
        <v>25480</v>
      </c>
    </row>
    <row r="201" spans="1:11">
      <c r="A201">
        <v>1</v>
      </c>
      <c r="B201">
        <v>1</v>
      </c>
      <c r="C201" s="1">
        <v>9670</v>
      </c>
      <c r="D201" s="1">
        <v>2280</v>
      </c>
      <c r="E201" s="1">
        <v>2112</v>
      </c>
      <c r="F201" s="1">
        <v>520</v>
      </c>
      <c r="G201" s="1">
        <v>402</v>
      </c>
      <c r="H201" s="1">
        <v>347</v>
      </c>
      <c r="I201" t="str">
        <f t="shared" si="12"/>
        <v>Horeca</v>
      </c>
      <c r="J201" t="str">
        <f t="shared" si="10"/>
        <v>Lisbon</v>
      </c>
      <c r="K201" s="1">
        <f t="shared" si="11"/>
        <v>15331</v>
      </c>
    </row>
    <row r="202" spans="1:11">
      <c r="A202">
        <v>2</v>
      </c>
      <c r="B202">
        <v>1</v>
      </c>
      <c r="C202" s="1">
        <v>3067</v>
      </c>
      <c r="D202" s="1">
        <v>13240</v>
      </c>
      <c r="E202" s="1">
        <v>23127</v>
      </c>
      <c r="F202" s="1">
        <v>3941</v>
      </c>
      <c r="G202" s="1">
        <v>9959</v>
      </c>
      <c r="H202" s="1">
        <v>731</v>
      </c>
      <c r="I202" t="str">
        <f t="shared" si="12"/>
        <v>Retail</v>
      </c>
      <c r="J202" t="str">
        <f t="shared" si="10"/>
        <v>Lisbon</v>
      </c>
      <c r="K202" s="1">
        <f t="shared" si="11"/>
        <v>54065</v>
      </c>
    </row>
    <row r="203" spans="1:11">
      <c r="A203">
        <v>2</v>
      </c>
      <c r="B203">
        <v>1</v>
      </c>
      <c r="C203" s="1">
        <v>4484</v>
      </c>
      <c r="D203" s="1">
        <v>14399</v>
      </c>
      <c r="E203" s="1">
        <v>24708</v>
      </c>
      <c r="F203" s="1">
        <v>3549</v>
      </c>
      <c r="G203" s="1">
        <v>14235</v>
      </c>
      <c r="H203" s="1">
        <v>1681</v>
      </c>
      <c r="I203" t="str">
        <f t="shared" si="12"/>
        <v>Retail</v>
      </c>
      <c r="J203" t="str">
        <f t="shared" si="10"/>
        <v>Lisbon</v>
      </c>
      <c r="K203" s="1">
        <f t="shared" si="11"/>
        <v>63056</v>
      </c>
    </row>
    <row r="204" spans="1:11">
      <c r="A204">
        <v>1</v>
      </c>
      <c r="B204">
        <v>1</v>
      </c>
      <c r="C204" s="1">
        <v>25203</v>
      </c>
      <c r="D204" s="1">
        <v>11487</v>
      </c>
      <c r="E204" s="1">
        <v>9490</v>
      </c>
      <c r="F204" s="1">
        <v>5065</v>
      </c>
      <c r="G204" s="1">
        <v>284</v>
      </c>
      <c r="H204" s="1">
        <v>6854</v>
      </c>
      <c r="I204" t="str">
        <f t="shared" si="12"/>
        <v>Horeca</v>
      </c>
      <c r="J204" t="str">
        <f t="shared" si="10"/>
        <v>Lisbon</v>
      </c>
      <c r="K204" s="1">
        <f t="shared" si="11"/>
        <v>58383</v>
      </c>
    </row>
    <row r="205" spans="1:11">
      <c r="A205">
        <v>1</v>
      </c>
      <c r="B205">
        <v>1</v>
      </c>
      <c r="C205" s="1">
        <v>583</v>
      </c>
      <c r="D205" s="1">
        <v>685</v>
      </c>
      <c r="E205" s="1">
        <v>2216</v>
      </c>
      <c r="F205" s="1">
        <v>469</v>
      </c>
      <c r="G205" s="1">
        <v>954</v>
      </c>
      <c r="H205" s="1">
        <v>18</v>
      </c>
      <c r="I205" t="str">
        <f t="shared" si="12"/>
        <v>Horeca</v>
      </c>
      <c r="J205" t="str">
        <f t="shared" si="10"/>
        <v>Lisbon</v>
      </c>
      <c r="K205" s="1">
        <f t="shared" si="11"/>
        <v>4925</v>
      </c>
    </row>
    <row r="206" spans="1:11">
      <c r="A206">
        <v>1</v>
      </c>
      <c r="B206">
        <v>1</v>
      </c>
      <c r="C206" s="1">
        <v>1956</v>
      </c>
      <c r="D206" s="1">
        <v>891</v>
      </c>
      <c r="E206" s="1">
        <v>5226</v>
      </c>
      <c r="F206" s="1">
        <v>1383</v>
      </c>
      <c r="G206" s="1">
        <v>5</v>
      </c>
      <c r="H206" s="1">
        <v>1328</v>
      </c>
      <c r="I206" t="str">
        <f t="shared" si="12"/>
        <v>Horeca</v>
      </c>
      <c r="J206" t="str">
        <f t="shared" si="10"/>
        <v>Lisbon</v>
      </c>
      <c r="K206" s="1">
        <f t="shared" si="11"/>
        <v>10789</v>
      </c>
    </row>
    <row r="207" spans="1:11">
      <c r="A207">
        <v>2</v>
      </c>
      <c r="B207">
        <v>1</v>
      </c>
      <c r="C207" s="1">
        <v>1107</v>
      </c>
      <c r="D207" s="1">
        <v>11711</v>
      </c>
      <c r="E207" s="1">
        <v>23596</v>
      </c>
      <c r="F207" s="1">
        <v>955</v>
      </c>
      <c r="G207" s="1">
        <v>9265</v>
      </c>
      <c r="H207" s="1">
        <v>710</v>
      </c>
      <c r="I207" t="str">
        <f t="shared" si="12"/>
        <v>Retail</v>
      </c>
      <c r="J207" t="str">
        <f t="shared" si="10"/>
        <v>Lisbon</v>
      </c>
      <c r="K207" s="1">
        <f t="shared" si="11"/>
        <v>47344</v>
      </c>
    </row>
    <row r="208" spans="1:11">
      <c r="A208">
        <v>1</v>
      </c>
      <c r="B208">
        <v>1</v>
      </c>
      <c r="C208" s="1">
        <v>6373</v>
      </c>
      <c r="D208" s="1">
        <v>780</v>
      </c>
      <c r="E208" s="1">
        <v>950</v>
      </c>
      <c r="F208" s="1">
        <v>878</v>
      </c>
      <c r="G208" s="1">
        <v>288</v>
      </c>
      <c r="H208" s="1">
        <v>285</v>
      </c>
      <c r="I208" t="str">
        <f t="shared" si="12"/>
        <v>Horeca</v>
      </c>
      <c r="J208" t="str">
        <f t="shared" si="10"/>
        <v>Lisbon</v>
      </c>
      <c r="K208" s="1">
        <f t="shared" si="11"/>
        <v>9554</v>
      </c>
    </row>
    <row r="209" spans="1:11">
      <c r="A209">
        <v>2</v>
      </c>
      <c r="B209">
        <v>1</v>
      </c>
      <c r="C209" s="1">
        <v>2541</v>
      </c>
      <c r="D209" s="1">
        <v>4737</v>
      </c>
      <c r="E209" s="1">
        <v>6089</v>
      </c>
      <c r="F209" s="1">
        <v>2946</v>
      </c>
      <c r="G209" s="1">
        <v>5316</v>
      </c>
      <c r="H209" s="1">
        <v>120</v>
      </c>
      <c r="I209" t="str">
        <f t="shared" si="12"/>
        <v>Retail</v>
      </c>
      <c r="J209" t="str">
        <f t="shared" si="10"/>
        <v>Lisbon</v>
      </c>
      <c r="K209" s="1">
        <f t="shared" si="11"/>
        <v>21749</v>
      </c>
    </row>
    <row r="210" spans="1:11">
      <c r="A210">
        <v>1</v>
      </c>
      <c r="B210">
        <v>1</v>
      </c>
      <c r="C210" s="1">
        <v>1537</v>
      </c>
      <c r="D210" s="1">
        <v>3748</v>
      </c>
      <c r="E210" s="1">
        <v>5838</v>
      </c>
      <c r="F210" s="1">
        <v>1859</v>
      </c>
      <c r="G210" s="1">
        <v>3381</v>
      </c>
      <c r="H210" s="1">
        <v>806</v>
      </c>
      <c r="I210" t="str">
        <f t="shared" si="12"/>
        <v>Horeca</v>
      </c>
      <c r="J210" t="str">
        <f t="shared" si="10"/>
        <v>Lisbon</v>
      </c>
      <c r="K210" s="1">
        <f t="shared" si="11"/>
        <v>17169</v>
      </c>
    </row>
    <row r="211" spans="1:11">
      <c r="A211">
        <v>2</v>
      </c>
      <c r="B211">
        <v>1</v>
      </c>
      <c r="C211" s="1">
        <v>5550</v>
      </c>
      <c r="D211" s="1">
        <v>12729</v>
      </c>
      <c r="E211" s="1">
        <v>16767</v>
      </c>
      <c r="F211" s="1">
        <v>864</v>
      </c>
      <c r="G211" s="1">
        <v>12420</v>
      </c>
      <c r="H211" s="1">
        <v>797</v>
      </c>
      <c r="I211" t="str">
        <f t="shared" si="12"/>
        <v>Retail</v>
      </c>
      <c r="J211" t="str">
        <f t="shared" si="10"/>
        <v>Lisbon</v>
      </c>
      <c r="K211" s="1">
        <f t="shared" si="11"/>
        <v>49127</v>
      </c>
    </row>
    <row r="212" spans="1:11">
      <c r="A212">
        <v>1</v>
      </c>
      <c r="B212">
        <v>1</v>
      </c>
      <c r="C212" s="1">
        <v>18567</v>
      </c>
      <c r="D212" s="1">
        <v>1895</v>
      </c>
      <c r="E212" s="1">
        <v>1393</v>
      </c>
      <c r="F212" s="1">
        <v>1801</v>
      </c>
      <c r="G212" s="1">
        <v>244</v>
      </c>
      <c r="H212" s="1">
        <v>2100</v>
      </c>
      <c r="I212" t="str">
        <f t="shared" si="12"/>
        <v>Horeca</v>
      </c>
      <c r="J212" t="str">
        <f t="shared" si="10"/>
        <v>Lisbon</v>
      </c>
      <c r="K212" s="1">
        <f t="shared" si="11"/>
        <v>26000</v>
      </c>
    </row>
    <row r="213" spans="1:11">
      <c r="A213">
        <v>2</v>
      </c>
      <c r="B213">
        <v>1</v>
      </c>
      <c r="C213" s="1">
        <v>12119</v>
      </c>
      <c r="D213" s="1">
        <v>28326</v>
      </c>
      <c r="E213" s="1">
        <v>39694</v>
      </c>
      <c r="F213" s="1">
        <v>4736</v>
      </c>
      <c r="G213" s="1">
        <v>19410</v>
      </c>
      <c r="H213" s="1">
        <v>2870</v>
      </c>
      <c r="I213" t="str">
        <f t="shared" si="12"/>
        <v>Retail</v>
      </c>
      <c r="J213" t="str">
        <f t="shared" si="10"/>
        <v>Lisbon</v>
      </c>
      <c r="K213" s="1">
        <f t="shared" si="11"/>
        <v>107155</v>
      </c>
    </row>
    <row r="214" spans="1:11">
      <c r="A214">
        <v>1</v>
      </c>
      <c r="B214">
        <v>1</v>
      </c>
      <c r="C214" s="1">
        <v>7291</v>
      </c>
      <c r="D214" s="1">
        <v>1012</v>
      </c>
      <c r="E214" s="1">
        <v>2062</v>
      </c>
      <c r="F214" s="1">
        <v>1291</v>
      </c>
      <c r="G214" s="1">
        <v>240</v>
      </c>
      <c r="H214" s="1">
        <v>1775</v>
      </c>
      <c r="I214" t="str">
        <f t="shared" si="12"/>
        <v>Horeca</v>
      </c>
      <c r="J214" t="str">
        <f t="shared" si="10"/>
        <v>Lisbon</v>
      </c>
      <c r="K214" s="1">
        <f t="shared" si="11"/>
        <v>13671</v>
      </c>
    </row>
    <row r="215" spans="1:11">
      <c r="A215">
        <v>1</v>
      </c>
      <c r="B215">
        <v>1</v>
      </c>
      <c r="C215" s="1">
        <v>3317</v>
      </c>
      <c r="D215" s="1">
        <v>6602</v>
      </c>
      <c r="E215" s="1">
        <v>6861</v>
      </c>
      <c r="F215" s="1">
        <v>1329</v>
      </c>
      <c r="G215" s="1">
        <v>3961</v>
      </c>
      <c r="H215" s="1">
        <v>1215</v>
      </c>
      <c r="I215" t="str">
        <f t="shared" si="12"/>
        <v>Horeca</v>
      </c>
      <c r="J215" t="str">
        <f t="shared" si="10"/>
        <v>Lisbon</v>
      </c>
      <c r="K215" s="1">
        <f t="shared" si="11"/>
        <v>23285</v>
      </c>
    </row>
    <row r="216" spans="1:11">
      <c r="A216">
        <v>2</v>
      </c>
      <c r="B216">
        <v>1</v>
      </c>
      <c r="C216" s="1">
        <v>2362</v>
      </c>
      <c r="D216" s="1">
        <v>6551</v>
      </c>
      <c r="E216" s="1">
        <v>11364</v>
      </c>
      <c r="F216" s="1">
        <v>913</v>
      </c>
      <c r="G216" s="1">
        <v>5957</v>
      </c>
      <c r="H216" s="1">
        <v>791</v>
      </c>
      <c r="I216" t="str">
        <f t="shared" si="12"/>
        <v>Retail</v>
      </c>
      <c r="J216" t="str">
        <f t="shared" si="10"/>
        <v>Lisbon</v>
      </c>
      <c r="K216" s="1">
        <f t="shared" si="11"/>
        <v>27938</v>
      </c>
    </row>
    <row r="217" spans="1:11">
      <c r="A217">
        <v>1</v>
      </c>
      <c r="B217">
        <v>1</v>
      </c>
      <c r="C217" s="1">
        <v>2806</v>
      </c>
      <c r="D217" s="1">
        <v>10765</v>
      </c>
      <c r="E217" s="1">
        <v>15538</v>
      </c>
      <c r="F217" s="1">
        <v>1374</v>
      </c>
      <c r="G217" s="1">
        <v>5828</v>
      </c>
      <c r="H217" s="1">
        <v>2388</v>
      </c>
      <c r="I217" t="str">
        <f t="shared" si="12"/>
        <v>Horeca</v>
      </c>
      <c r="J217" t="str">
        <f t="shared" si="10"/>
        <v>Lisbon</v>
      </c>
      <c r="K217" s="1">
        <f t="shared" si="11"/>
        <v>38699</v>
      </c>
    </row>
    <row r="218" spans="1:11">
      <c r="A218">
        <v>2</v>
      </c>
      <c r="B218">
        <v>1</v>
      </c>
      <c r="C218" s="1">
        <v>2532</v>
      </c>
      <c r="D218" s="1">
        <v>16599</v>
      </c>
      <c r="E218" s="1">
        <v>36486</v>
      </c>
      <c r="F218" s="1">
        <v>179</v>
      </c>
      <c r="G218" s="1">
        <v>13308</v>
      </c>
      <c r="H218" s="1">
        <v>674</v>
      </c>
      <c r="I218" t="str">
        <f t="shared" si="12"/>
        <v>Retail</v>
      </c>
      <c r="J218" t="str">
        <f t="shared" si="10"/>
        <v>Lisbon</v>
      </c>
      <c r="K218" s="1">
        <f t="shared" si="11"/>
        <v>69778</v>
      </c>
    </row>
    <row r="219" spans="1:11">
      <c r="A219">
        <v>1</v>
      </c>
      <c r="B219">
        <v>1</v>
      </c>
      <c r="C219" s="1">
        <v>18044</v>
      </c>
      <c r="D219" s="1">
        <v>1475</v>
      </c>
      <c r="E219" s="1">
        <v>2046</v>
      </c>
      <c r="F219" s="1">
        <v>2532</v>
      </c>
      <c r="G219" s="1">
        <v>130</v>
      </c>
      <c r="H219" s="1">
        <v>1158</v>
      </c>
      <c r="I219" t="str">
        <f t="shared" si="12"/>
        <v>Horeca</v>
      </c>
      <c r="J219" t="str">
        <f t="shared" si="10"/>
        <v>Lisbon</v>
      </c>
      <c r="K219" s="1">
        <f t="shared" si="11"/>
        <v>25385</v>
      </c>
    </row>
    <row r="220" spans="1:11">
      <c r="A220">
        <v>2</v>
      </c>
      <c r="B220">
        <v>1</v>
      </c>
      <c r="C220" s="1">
        <v>18</v>
      </c>
      <c r="D220" s="1">
        <v>7504</v>
      </c>
      <c r="E220" s="1">
        <v>15205</v>
      </c>
      <c r="F220" s="1">
        <v>1285</v>
      </c>
      <c r="G220" s="1">
        <v>4797</v>
      </c>
      <c r="H220" s="1">
        <v>6372</v>
      </c>
      <c r="I220" t="str">
        <f t="shared" si="12"/>
        <v>Retail</v>
      </c>
      <c r="J220" t="str">
        <f t="shared" si="10"/>
        <v>Lisbon</v>
      </c>
      <c r="K220" s="1">
        <f t="shared" si="11"/>
        <v>35181</v>
      </c>
    </row>
    <row r="221" spans="1:11">
      <c r="A221">
        <v>1</v>
      </c>
      <c r="B221">
        <v>1</v>
      </c>
      <c r="C221" s="1">
        <v>4155</v>
      </c>
      <c r="D221" s="1">
        <v>367</v>
      </c>
      <c r="E221" s="1">
        <v>1390</v>
      </c>
      <c r="F221" s="1">
        <v>2306</v>
      </c>
      <c r="G221" s="1">
        <v>86</v>
      </c>
      <c r="H221" s="1">
        <v>130</v>
      </c>
      <c r="I221" t="str">
        <f t="shared" si="12"/>
        <v>Horeca</v>
      </c>
      <c r="J221" t="str">
        <f t="shared" si="10"/>
        <v>Lisbon</v>
      </c>
      <c r="K221" s="1">
        <f t="shared" si="11"/>
        <v>8434</v>
      </c>
    </row>
    <row r="222" spans="1:11">
      <c r="A222">
        <v>1</v>
      </c>
      <c r="B222">
        <v>1</v>
      </c>
      <c r="C222" s="1">
        <v>14755</v>
      </c>
      <c r="D222" s="1">
        <v>899</v>
      </c>
      <c r="E222" s="1">
        <v>1382</v>
      </c>
      <c r="F222" s="1">
        <v>1765</v>
      </c>
      <c r="G222" s="1">
        <v>56</v>
      </c>
      <c r="H222" s="1">
        <v>749</v>
      </c>
      <c r="I222" t="str">
        <f t="shared" si="12"/>
        <v>Horeca</v>
      </c>
      <c r="J222" t="str">
        <f t="shared" si="10"/>
        <v>Lisbon</v>
      </c>
      <c r="K222" s="1">
        <f t="shared" si="11"/>
        <v>19606</v>
      </c>
    </row>
    <row r="223" spans="1:11">
      <c r="A223">
        <v>1</v>
      </c>
      <c r="B223">
        <v>1</v>
      </c>
      <c r="C223" s="1">
        <v>5396</v>
      </c>
      <c r="D223" s="1">
        <v>7503</v>
      </c>
      <c r="E223" s="1">
        <v>10646</v>
      </c>
      <c r="F223" s="1">
        <v>91</v>
      </c>
      <c r="G223" s="1">
        <v>4167</v>
      </c>
      <c r="H223" s="1">
        <v>239</v>
      </c>
      <c r="I223" t="str">
        <f t="shared" si="12"/>
        <v>Horeca</v>
      </c>
      <c r="J223" t="str">
        <f t="shared" si="10"/>
        <v>Lisbon</v>
      </c>
      <c r="K223" s="1">
        <f t="shared" si="11"/>
        <v>28042</v>
      </c>
    </row>
    <row r="224" spans="1:11">
      <c r="A224">
        <v>1</v>
      </c>
      <c r="B224">
        <v>1</v>
      </c>
      <c r="C224" s="1">
        <v>5041</v>
      </c>
      <c r="D224" s="1">
        <v>1115</v>
      </c>
      <c r="E224" s="1">
        <v>2856</v>
      </c>
      <c r="F224" s="1">
        <v>7496</v>
      </c>
      <c r="G224" s="1">
        <v>256</v>
      </c>
      <c r="H224" s="1">
        <v>375</v>
      </c>
      <c r="I224" t="str">
        <f t="shared" si="12"/>
        <v>Horeca</v>
      </c>
      <c r="J224" t="str">
        <f t="shared" si="10"/>
        <v>Lisbon</v>
      </c>
      <c r="K224" s="1">
        <f t="shared" si="11"/>
        <v>17139</v>
      </c>
    </row>
    <row r="225" spans="1:11">
      <c r="A225">
        <v>2</v>
      </c>
      <c r="B225">
        <v>1</v>
      </c>
      <c r="C225" s="1">
        <v>2790</v>
      </c>
      <c r="D225" s="1">
        <v>2527</v>
      </c>
      <c r="E225" s="1">
        <v>5265</v>
      </c>
      <c r="F225" s="1">
        <v>5612</v>
      </c>
      <c r="G225" s="1">
        <v>788</v>
      </c>
      <c r="H225" s="1">
        <v>1360</v>
      </c>
      <c r="I225" t="str">
        <f t="shared" si="12"/>
        <v>Retail</v>
      </c>
      <c r="J225" t="str">
        <f t="shared" si="10"/>
        <v>Lisbon</v>
      </c>
      <c r="K225" s="1">
        <f t="shared" si="11"/>
        <v>18342</v>
      </c>
    </row>
    <row r="226" spans="1:11">
      <c r="A226">
        <v>1</v>
      </c>
      <c r="B226">
        <v>1</v>
      </c>
      <c r="C226" s="1">
        <v>7274</v>
      </c>
      <c r="D226" s="1">
        <v>659</v>
      </c>
      <c r="E226" s="1">
        <v>1499</v>
      </c>
      <c r="F226" s="1">
        <v>784</v>
      </c>
      <c r="G226" s="1">
        <v>70</v>
      </c>
      <c r="H226" s="1">
        <v>659</v>
      </c>
      <c r="I226" t="str">
        <f t="shared" si="12"/>
        <v>Horeca</v>
      </c>
      <c r="J226" t="str">
        <f t="shared" si="10"/>
        <v>Lisbon</v>
      </c>
      <c r="K226" s="1">
        <f t="shared" si="11"/>
        <v>10945</v>
      </c>
    </row>
    <row r="227" spans="1:11">
      <c r="A227">
        <v>1</v>
      </c>
      <c r="B227">
        <v>1</v>
      </c>
      <c r="C227" s="1">
        <v>12680</v>
      </c>
      <c r="D227" s="1">
        <v>3243</v>
      </c>
      <c r="E227" s="1">
        <v>4157</v>
      </c>
      <c r="F227" s="1">
        <v>660</v>
      </c>
      <c r="G227" s="1">
        <v>761</v>
      </c>
      <c r="H227" s="1">
        <v>786</v>
      </c>
      <c r="I227" t="str">
        <f t="shared" si="12"/>
        <v>Horeca</v>
      </c>
      <c r="J227" t="str">
        <f t="shared" si="10"/>
        <v>Lisbon</v>
      </c>
      <c r="K227" s="1">
        <f t="shared" si="11"/>
        <v>22287</v>
      </c>
    </row>
    <row r="228" spans="1:11">
      <c r="A228">
        <v>2</v>
      </c>
      <c r="B228">
        <v>1</v>
      </c>
      <c r="C228" s="1">
        <v>20782</v>
      </c>
      <c r="D228" s="1">
        <v>5921</v>
      </c>
      <c r="E228" s="1">
        <v>9212</v>
      </c>
      <c r="F228" s="1">
        <v>1759</v>
      </c>
      <c r="G228" s="1">
        <v>2568</v>
      </c>
      <c r="H228" s="1">
        <v>1553</v>
      </c>
      <c r="I228" t="str">
        <f t="shared" si="12"/>
        <v>Retail</v>
      </c>
      <c r="J228" t="str">
        <f t="shared" si="10"/>
        <v>Lisbon</v>
      </c>
      <c r="K228" s="1">
        <f t="shared" si="11"/>
        <v>41795</v>
      </c>
    </row>
    <row r="229" spans="1:11">
      <c r="A229">
        <v>1</v>
      </c>
      <c r="B229">
        <v>1</v>
      </c>
      <c r="C229" s="1">
        <v>4042</v>
      </c>
      <c r="D229" s="1">
        <v>2204</v>
      </c>
      <c r="E229" s="1">
        <v>1563</v>
      </c>
      <c r="F229" s="1">
        <v>2286</v>
      </c>
      <c r="G229" s="1">
        <v>263</v>
      </c>
      <c r="H229" s="1">
        <v>689</v>
      </c>
      <c r="I229" t="str">
        <f t="shared" si="12"/>
        <v>Horeca</v>
      </c>
      <c r="J229" t="str">
        <f t="shared" si="10"/>
        <v>Lisbon</v>
      </c>
      <c r="K229" s="1">
        <f t="shared" si="11"/>
        <v>11047</v>
      </c>
    </row>
    <row r="230" spans="1:11">
      <c r="A230">
        <v>1</v>
      </c>
      <c r="B230">
        <v>1</v>
      </c>
      <c r="C230" s="1">
        <v>1869</v>
      </c>
      <c r="D230" s="1">
        <v>577</v>
      </c>
      <c r="E230" s="1">
        <v>572</v>
      </c>
      <c r="F230" s="1">
        <v>950</v>
      </c>
      <c r="G230" s="1">
        <v>4762</v>
      </c>
      <c r="H230" s="1">
        <v>203</v>
      </c>
      <c r="I230" t="str">
        <f t="shared" si="12"/>
        <v>Horeca</v>
      </c>
      <c r="J230" t="str">
        <f t="shared" si="10"/>
        <v>Lisbon</v>
      </c>
      <c r="K230" s="1">
        <f t="shared" si="11"/>
        <v>8933</v>
      </c>
    </row>
    <row r="231" spans="1:11">
      <c r="A231">
        <v>1</v>
      </c>
      <c r="B231">
        <v>1</v>
      </c>
      <c r="C231" s="1">
        <v>8656</v>
      </c>
      <c r="D231" s="1">
        <v>2746</v>
      </c>
      <c r="E231" s="1">
        <v>2501</v>
      </c>
      <c r="F231" s="1">
        <v>6845</v>
      </c>
      <c r="G231" s="1">
        <v>694</v>
      </c>
      <c r="H231" s="1">
        <v>980</v>
      </c>
      <c r="I231" t="str">
        <f t="shared" si="12"/>
        <v>Horeca</v>
      </c>
      <c r="J231" t="str">
        <f t="shared" si="10"/>
        <v>Lisbon</v>
      </c>
      <c r="K231" s="1">
        <f t="shared" si="11"/>
        <v>22422</v>
      </c>
    </row>
    <row r="232" spans="1:11">
      <c r="A232">
        <v>2</v>
      </c>
      <c r="B232">
        <v>1</v>
      </c>
      <c r="C232" s="1">
        <v>11072</v>
      </c>
      <c r="D232" s="1">
        <v>5989</v>
      </c>
      <c r="E232" s="1">
        <v>5615</v>
      </c>
      <c r="F232" s="1">
        <v>8321</v>
      </c>
      <c r="G232" s="1">
        <v>955</v>
      </c>
      <c r="H232" s="1">
        <v>2137</v>
      </c>
      <c r="I232" t="str">
        <f t="shared" si="12"/>
        <v>Retail</v>
      </c>
      <c r="J232" t="str">
        <f t="shared" si="10"/>
        <v>Lisbon</v>
      </c>
      <c r="K232" s="1">
        <f t="shared" si="11"/>
        <v>34089</v>
      </c>
    </row>
    <row r="233" spans="1:11">
      <c r="A233">
        <v>1</v>
      </c>
      <c r="B233">
        <v>1</v>
      </c>
      <c r="C233" s="1">
        <v>2344</v>
      </c>
      <c r="D233" s="1">
        <v>10678</v>
      </c>
      <c r="E233" s="1">
        <v>3828</v>
      </c>
      <c r="F233" s="1">
        <v>1439</v>
      </c>
      <c r="G233" s="1">
        <v>1566</v>
      </c>
      <c r="H233" s="1">
        <v>490</v>
      </c>
      <c r="I233" t="str">
        <f t="shared" si="12"/>
        <v>Horeca</v>
      </c>
      <c r="J233" t="str">
        <f t="shared" si="10"/>
        <v>Lisbon</v>
      </c>
      <c r="K233" s="1">
        <f t="shared" si="11"/>
        <v>20345</v>
      </c>
    </row>
    <row r="234" spans="1:11">
      <c r="A234">
        <v>1</v>
      </c>
      <c r="B234">
        <v>1</v>
      </c>
      <c r="C234" s="1">
        <v>25962</v>
      </c>
      <c r="D234" s="1">
        <v>1780</v>
      </c>
      <c r="E234" s="1">
        <v>3838</v>
      </c>
      <c r="F234" s="1">
        <v>638</v>
      </c>
      <c r="G234" s="1">
        <v>284</v>
      </c>
      <c r="H234" s="1">
        <v>834</v>
      </c>
      <c r="I234" t="str">
        <f t="shared" si="12"/>
        <v>Horeca</v>
      </c>
      <c r="J234" t="str">
        <f t="shared" si="10"/>
        <v>Lisbon</v>
      </c>
      <c r="K234" s="1">
        <f t="shared" si="11"/>
        <v>33336</v>
      </c>
    </row>
    <row r="235" spans="1:11">
      <c r="A235">
        <v>1</v>
      </c>
      <c r="B235">
        <v>1</v>
      </c>
      <c r="C235" s="1">
        <v>964</v>
      </c>
      <c r="D235" s="1">
        <v>4984</v>
      </c>
      <c r="E235" s="1">
        <v>3316</v>
      </c>
      <c r="F235" s="1">
        <v>937</v>
      </c>
      <c r="G235" s="1">
        <v>409</v>
      </c>
      <c r="H235" s="1">
        <v>7</v>
      </c>
      <c r="I235" t="str">
        <f t="shared" si="12"/>
        <v>Horeca</v>
      </c>
      <c r="J235" t="str">
        <f t="shared" si="10"/>
        <v>Lisbon</v>
      </c>
      <c r="K235" s="1">
        <f t="shared" si="11"/>
        <v>10617</v>
      </c>
    </row>
    <row r="236" spans="1:11">
      <c r="A236">
        <v>1</v>
      </c>
      <c r="B236">
        <v>1</v>
      </c>
      <c r="C236" s="1">
        <v>15603</v>
      </c>
      <c r="D236" s="1">
        <v>2703</v>
      </c>
      <c r="E236" s="1">
        <v>3833</v>
      </c>
      <c r="F236" s="1">
        <v>4260</v>
      </c>
      <c r="G236" s="1">
        <v>325</v>
      </c>
      <c r="H236" s="1">
        <v>2563</v>
      </c>
      <c r="I236" t="str">
        <f t="shared" si="12"/>
        <v>Horeca</v>
      </c>
      <c r="J236" t="str">
        <f t="shared" si="10"/>
        <v>Lisbon</v>
      </c>
      <c r="K236" s="1">
        <f t="shared" si="11"/>
        <v>29287</v>
      </c>
    </row>
    <row r="237" spans="1:11">
      <c r="A237">
        <v>1</v>
      </c>
      <c r="B237">
        <v>1</v>
      </c>
      <c r="C237" s="1">
        <v>1838</v>
      </c>
      <c r="D237" s="1">
        <v>6380</v>
      </c>
      <c r="E237" s="1">
        <v>2824</v>
      </c>
      <c r="F237" s="1">
        <v>1218</v>
      </c>
      <c r="G237" s="1">
        <v>1216</v>
      </c>
      <c r="H237" s="1">
        <v>295</v>
      </c>
      <c r="I237" t="str">
        <f t="shared" si="12"/>
        <v>Horeca</v>
      </c>
      <c r="J237" t="str">
        <f t="shared" si="10"/>
        <v>Lisbon</v>
      </c>
      <c r="K237" s="1">
        <f t="shared" si="11"/>
        <v>13771</v>
      </c>
    </row>
    <row r="238" spans="1:11">
      <c r="A238">
        <v>1</v>
      </c>
      <c r="B238">
        <v>1</v>
      </c>
      <c r="C238" s="1">
        <v>8635</v>
      </c>
      <c r="D238" s="1">
        <v>820</v>
      </c>
      <c r="E238" s="1">
        <v>3047</v>
      </c>
      <c r="F238" s="1">
        <v>2312</v>
      </c>
      <c r="G238" s="1">
        <v>415</v>
      </c>
      <c r="H238" s="1">
        <v>225</v>
      </c>
      <c r="I238" t="str">
        <f t="shared" si="12"/>
        <v>Horeca</v>
      </c>
      <c r="J238" t="str">
        <f t="shared" si="10"/>
        <v>Lisbon</v>
      </c>
      <c r="K238" s="1">
        <f t="shared" si="11"/>
        <v>15454</v>
      </c>
    </row>
    <row r="239" spans="1:11">
      <c r="A239">
        <v>1</v>
      </c>
      <c r="B239">
        <v>1</v>
      </c>
      <c r="C239" s="1">
        <v>18692</v>
      </c>
      <c r="D239" s="1">
        <v>3838</v>
      </c>
      <c r="E239" s="1">
        <v>593</v>
      </c>
      <c r="F239" s="1">
        <v>4634</v>
      </c>
      <c r="G239" s="1">
        <v>28</v>
      </c>
      <c r="H239" s="1">
        <v>1215</v>
      </c>
      <c r="I239" t="str">
        <f t="shared" si="12"/>
        <v>Horeca</v>
      </c>
      <c r="J239" t="str">
        <f t="shared" si="10"/>
        <v>Lisbon</v>
      </c>
      <c r="K239" s="1">
        <f t="shared" si="11"/>
        <v>29000</v>
      </c>
    </row>
    <row r="240" spans="1:11">
      <c r="A240">
        <v>1</v>
      </c>
      <c r="B240">
        <v>1</v>
      </c>
      <c r="C240" s="1">
        <v>7363</v>
      </c>
      <c r="D240" s="1">
        <v>475</v>
      </c>
      <c r="E240" s="1">
        <v>585</v>
      </c>
      <c r="F240" s="1">
        <v>1112</v>
      </c>
      <c r="G240" s="1">
        <v>72</v>
      </c>
      <c r="H240" s="1">
        <v>216</v>
      </c>
      <c r="I240" t="str">
        <f t="shared" si="12"/>
        <v>Horeca</v>
      </c>
      <c r="J240" t="str">
        <f t="shared" si="10"/>
        <v>Lisbon</v>
      </c>
      <c r="K240" s="1">
        <f t="shared" si="11"/>
        <v>9823</v>
      </c>
    </row>
    <row r="241" spans="1:11">
      <c r="A241">
        <v>1</v>
      </c>
      <c r="B241">
        <v>1</v>
      </c>
      <c r="C241" s="1">
        <v>47493</v>
      </c>
      <c r="D241" s="1">
        <v>2567</v>
      </c>
      <c r="E241" s="1">
        <v>3779</v>
      </c>
      <c r="F241" s="1">
        <v>5243</v>
      </c>
      <c r="G241" s="1">
        <v>828</v>
      </c>
      <c r="H241" s="1">
        <v>2253</v>
      </c>
      <c r="I241" t="str">
        <f t="shared" si="12"/>
        <v>Horeca</v>
      </c>
      <c r="J241" t="str">
        <f t="shared" si="10"/>
        <v>Lisbon</v>
      </c>
      <c r="K241" s="1">
        <f t="shared" si="11"/>
        <v>62163</v>
      </c>
    </row>
    <row r="242" spans="1:11">
      <c r="A242">
        <v>1</v>
      </c>
      <c r="B242">
        <v>1</v>
      </c>
      <c r="C242" s="1">
        <v>22096</v>
      </c>
      <c r="D242" s="1">
        <v>3575</v>
      </c>
      <c r="E242" s="1">
        <v>7041</v>
      </c>
      <c r="F242" s="1">
        <v>11422</v>
      </c>
      <c r="G242" s="1">
        <v>343</v>
      </c>
      <c r="H242" s="1">
        <v>2564</v>
      </c>
      <c r="I242" t="str">
        <f t="shared" si="12"/>
        <v>Horeca</v>
      </c>
      <c r="J242" t="str">
        <f t="shared" si="10"/>
        <v>Lisbon</v>
      </c>
      <c r="K242" s="1">
        <f t="shared" si="11"/>
        <v>47041</v>
      </c>
    </row>
    <row r="243" spans="1:11">
      <c r="A243">
        <v>1</v>
      </c>
      <c r="B243">
        <v>1</v>
      </c>
      <c r="C243" s="1">
        <v>24929</v>
      </c>
      <c r="D243" s="1">
        <v>1801</v>
      </c>
      <c r="E243" s="1">
        <v>2475</v>
      </c>
      <c r="F243" s="1">
        <v>2216</v>
      </c>
      <c r="G243" s="1">
        <v>412</v>
      </c>
      <c r="H243" s="1">
        <v>1047</v>
      </c>
      <c r="I243" t="str">
        <f t="shared" si="12"/>
        <v>Horeca</v>
      </c>
      <c r="J243" t="str">
        <f t="shared" si="10"/>
        <v>Lisbon</v>
      </c>
      <c r="K243" s="1">
        <f t="shared" si="11"/>
        <v>32880</v>
      </c>
    </row>
    <row r="244" spans="1:11">
      <c r="A244">
        <v>1</v>
      </c>
      <c r="B244">
        <v>1</v>
      </c>
      <c r="C244" s="1">
        <v>18226</v>
      </c>
      <c r="D244" s="1">
        <v>659</v>
      </c>
      <c r="E244" s="1">
        <v>2914</v>
      </c>
      <c r="F244" s="1">
        <v>3752</v>
      </c>
      <c r="G244" s="1">
        <v>586</v>
      </c>
      <c r="H244" s="1">
        <v>578</v>
      </c>
      <c r="I244" t="str">
        <f t="shared" si="12"/>
        <v>Horeca</v>
      </c>
      <c r="J244" t="str">
        <f t="shared" si="10"/>
        <v>Lisbon</v>
      </c>
      <c r="K244" s="1">
        <f t="shared" si="11"/>
        <v>26715</v>
      </c>
    </row>
    <row r="245" spans="1:11">
      <c r="A245">
        <v>1</v>
      </c>
      <c r="B245">
        <v>1</v>
      </c>
      <c r="C245" s="1">
        <v>11210</v>
      </c>
      <c r="D245" s="1">
        <v>3576</v>
      </c>
      <c r="E245" s="1">
        <v>5119</v>
      </c>
      <c r="F245" s="1">
        <v>561</v>
      </c>
      <c r="G245" s="1">
        <v>1682</v>
      </c>
      <c r="H245" s="1">
        <v>2398</v>
      </c>
      <c r="I245" t="str">
        <f t="shared" si="12"/>
        <v>Horeca</v>
      </c>
      <c r="J245" t="str">
        <f t="shared" si="10"/>
        <v>Lisbon</v>
      </c>
      <c r="K245" s="1">
        <f t="shared" si="11"/>
        <v>24546</v>
      </c>
    </row>
    <row r="246" spans="1:11">
      <c r="A246">
        <v>1</v>
      </c>
      <c r="B246">
        <v>1</v>
      </c>
      <c r="C246" s="1">
        <v>6202</v>
      </c>
      <c r="D246" s="1">
        <v>7775</v>
      </c>
      <c r="E246" s="1">
        <v>10817</v>
      </c>
      <c r="F246" s="1">
        <v>1183</v>
      </c>
      <c r="G246" s="1">
        <v>3143</v>
      </c>
      <c r="H246" s="1">
        <v>1970</v>
      </c>
      <c r="I246" t="str">
        <f t="shared" si="12"/>
        <v>Horeca</v>
      </c>
      <c r="J246" t="str">
        <f t="shared" si="10"/>
        <v>Lisbon</v>
      </c>
      <c r="K246" s="1">
        <f t="shared" si="11"/>
        <v>31090</v>
      </c>
    </row>
    <row r="247" spans="1:11">
      <c r="A247">
        <v>2</v>
      </c>
      <c r="B247">
        <v>1</v>
      </c>
      <c r="C247" s="1">
        <v>3062</v>
      </c>
      <c r="D247" s="1">
        <v>6154</v>
      </c>
      <c r="E247" s="1">
        <v>13916</v>
      </c>
      <c r="F247" s="1">
        <v>230</v>
      </c>
      <c r="G247" s="1">
        <v>8933</v>
      </c>
      <c r="H247" s="1">
        <v>2784</v>
      </c>
      <c r="I247" t="str">
        <f t="shared" si="12"/>
        <v>Retail</v>
      </c>
      <c r="J247" t="str">
        <f t="shared" si="10"/>
        <v>Lisbon</v>
      </c>
      <c r="K247" s="1">
        <f t="shared" si="11"/>
        <v>35079</v>
      </c>
    </row>
    <row r="248" spans="1:11">
      <c r="A248">
        <v>1</v>
      </c>
      <c r="B248">
        <v>1</v>
      </c>
      <c r="C248" s="1">
        <v>8885</v>
      </c>
      <c r="D248" s="1">
        <v>2428</v>
      </c>
      <c r="E248" s="1">
        <v>1777</v>
      </c>
      <c r="F248" s="1">
        <v>1777</v>
      </c>
      <c r="G248" s="1">
        <v>430</v>
      </c>
      <c r="H248" s="1">
        <v>610</v>
      </c>
      <c r="I248" t="str">
        <f t="shared" si="12"/>
        <v>Horeca</v>
      </c>
      <c r="J248" t="str">
        <f t="shared" si="10"/>
        <v>Lisbon</v>
      </c>
      <c r="K248" s="1">
        <f t="shared" si="11"/>
        <v>15907</v>
      </c>
    </row>
    <row r="249" spans="1:11">
      <c r="A249">
        <v>1</v>
      </c>
      <c r="B249">
        <v>1</v>
      </c>
      <c r="C249" s="1">
        <v>13569</v>
      </c>
      <c r="D249" s="1">
        <v>346</v>
      </c>
      <c r="E249" s="1">
        <v>489</v>
      </c>
      <c r="F249" s="1">
        <v>2077</v>
      </c>
      <c r="G249" s="1">
        <v>44</v>
      </c>
      <c r="H249" s="1">
        <v>659</v>
      </c>
      <c r="I249" t="str">
        <f>IF(A249=1,"Horeca",IF(A249=2,"Retail","Check"))</f>
        <v>Horeca</v>
      </c>
      <c r="J249" t="str">
        <f t="shared" si="10"/>
        <v>Lisbon</v>
      </c>
      <c r="K249" s="1">
        <f t="shared" si="11"/>
        <v>17184</v>
      </c>
    </row>
    <row r="250" spans="1:11">
      <c r="A250">
        <v>1</v>
      </c>
      <c r="B250">
        <v>1</v>
      </c>
      <c r="C250" s="1">
        <v>15671</v>
      </c>
      <c r="D250" s="1">
        <v>5279</v>
      </c>
      <c r="E250" s="1">
        <v>2406</v>
      </c>
      <c r="F250" s="1">
        <v>559</v>
      </c>
      <c r="G250" s="1">
        <v>562</v>
      </c>
      <c r="H250" s="1">
        <v>572</v>
      </c>
      <c r="I250" t="str">
        <f t="shared" ref="I250:I313" si="13">IF(A250=1,"Horeca",IF(A250=2,"Retail","Check"))</f>
        <v>Horeca</v>
      </c>
      <c r="J250" t="str">
        <f t="shared" si="10"/>
        <v>Lisbon</v>
      </c>
      <c r="K250" s="1">
        <f t="shared" si="11"/>
        <v>25049</v>
      </c>
    </row>
    <row r="251" spans="1:11">
      <c r="A251">
        <v>1</v>
      </c>
      <c r="B251">
        <v>1</v>
      </c>
      <c r="C251" s="1">
        <v>8040</v>
      </c>
      <c r="D251" s="1">
        <v>3795</v>
      </c>
      <c r="E251" s="1">
        <v>2070</v>
      </c>
      <c r="F251" s="1">
        <v>6340</v>
      </c>
      <c r="G251" s="1">
        <v>918</v>
      </c>
      <c r="H251" s="1">
        <v>291</v>
      </c>
      <c r="I251" t="str">
        <f t="shared" si="13"/>
        <v>Horeca</v>
      </c>
      <c r="J251" t="str">
        <f t="shared" si="10"/>
        <v>Lisbon</v>
      </c>
      <c r="K251" s="1">
        <f t="shared" si="11"/>
        <v>21454</v>
      </c>
    </row>
    <row r="252" spans="1:11">
      <c r="A252">
        <v>1</v>
      </c>
      <c r="B252">
        <v>1</v>
      </c>
      <c r="C252" s="1">
        <v>3191</v>
      </c>
      <c r="D252" s="1">
        <v>1993</v>
      </c>
      <c r="E252" s="1">
        <v>1799</v>
      </c>
      <c r="F252" s="1">
        <v>1730</v>
      </c>
      <c r="G252" s="1">
        <v>234</v>
      </c>
      <c r="H252" s="1">
        <v>710</v>
      </c>
      <c r="I252" t="str">
        <f t="shared" si="13"/>
        <v>Horeca</v>
      </c>
      <c r="J252" t="str">
        <f t="shared" si="10"/>
        <v>Lisbon</v>
      </c>
      <c r="K252" s="1">
        <f t="shared" si="11"/>
        <v>9657</v>
      </c>
    </row>
    <row r="253" spans="1:11">
      <c r="A253">
        <v>2</v>
      </c>
      <c r="B253">
        <v>1</v>
      </c>
      <c r="C253" s="1">
        <v>6134</v>
      </c>
      <c r="D253" s="1">
        <v>23133</v>
      </c>
      <c r="E253" s="1">
        <v>33586</v>
      </c>
      <c r="F253" s="1">
        <v>6746</v>
      </c>
      <c r="G253" s="1">
        <v>18594</v>
      </c>
      <c r="H253" s="1">
        <v>5121</v>
      </c>
      <c r="I253" t="str">
        <f t="shared" si="13"/>
        <v>Retail</v>
      </c>
      <c r="J253" t="str">
        <f t="shared" si="10"/>
        <v>Lisbon</v>
      </c>
      <c r="K253" s="1">
        <f t="shared" si="11"/>
        <v>93314</v>
      </c>
    </row>
    <row r="254" spans="1:11">
      <c r="A254">
        <v>1</v>
      </c>
      <c r="B254">
        <v>1</v>
      </c>
      <c r="C254" s="1">
        <v>6623</v>
      </c>
      <c r="D254" s="1">
        <v>1860</v>
      </c>
      <c r="E254" s="1">
        <v>4740</v>
      </c>
      <c r="F254" s="1">
        <v>7683</v>
      </c>
      <c r="G254" s="1">
        <v>205</v>
      </c>
      <c r="H254" s="1">
        <v>1693</v>
      </c>
      <c r="I254" t="str">
        <f t="shared" si="13"/>
        <v>Horeca</v>
      </c>
      <c r="J254" t="str">
        <f t="shared" si="10"/>
        <v>Lisbon</v>
      </c>
      <c r="K254" s="1">
        <f t="shared" si="11"/>
        <v>22804</v>
      </c>
    </row>
    <row r="255" spans="1:11">
      <c r="A255">
        <v>1</v>
      </c>
      <c r="B255">
        <v>1</v>
      </c>
      <c r="C255" s="1">
        <v>29526</v>
      </c>
      <c r="D255" s="1">
        <v>7961</v>
      </c>
      <c r="E255" s="1">
        <v>16966</v>
      </c>
      <c r="F255" s="1">
        <v>432</v>
      </c>
      <c r="G255" s="1">
        <v>363</v>
      </c>
      <c r="H255" s="1">
        <v>1391</v>
      </c>
      <c r="I255" t="str">
        <f t="shared" si="13"/>
        <v>Horeca</v>
      </c>
      <c r="J255" t="str">
        <f t="shared" si="10"/>
        <v>Lisbon</v>
      </c>
      <c r="K255" s="1">
        <f t="shared" si="11"/>
        <v>56639</v>
      </c>
    </row>
    <row r="256" spans="1:11">
      <c r="A256">
        <v>1</v>
      </c>
      <c r="B256">
        <v>1</v>
      </c>
      <c r="C256" s="1">
        <v>10379</v>
      </c>
      <c r="D256" s="1">
        <v>17972</v>
      </c>
      <c r="E256" s="1">
        <v>4748</v>
      </c>
      <c r="F256" s="1">
        <v>4686</v>
      </c>
      <c r="G256" s="1">
        <v>1547</v>
      </c>
      <c r="H256" s="1">
        <v>3265</v>
      </c>
      <c r="I256" t="str">
        <f t="shared" si="13"/>
        <v>Horeca</v>
      </c>
      <c r="J256" t="str">
        <f t="shared" si="10"/>
        <v>Lisbon</v>
      </c>
      <c r="K256" s="1">
        <f t="shared" si="11"/>
        <v>42597</v>
      </c>
    </row>
    <row r="257" spans="1:11">
      <c r="A257">
        <v>1</v>
      </c>
      <c r="B257">
        <v>1</v>
      </c>
      <c r="C257" s="1">
        <v>31614</v>
      </c>
      <c r="D257" s="1">
        <v>489</v>
      </c>
      <c r="E257" s="1">
        <v>1495</v>
      </c>
      <c r="F257" s="1">
        <v>3242</v>
      </c>
      <c r="G257" s="1">
        <v>111</v>
      </c>
      <c r="H257" s="1">
        <v>615</v>
      </c>
      <c r="I257" t="str">
        <f t="shared" si="13"/>
        <v>Horeca</v>
      </c>
      <c r="J257" t="str">
        <f t="shared" si="10"/>
        <v>Lisbon</v>
      </c>
      <c r="K257" s="1">
        <f t="shared" si="11"/>
        <v>37566</v>
      </c>
    </row>
    <row r="258" spans="1:11">
      <c r="A258">
        <v>1</v>
      </c>
      <c r="B258">
        <v>1</v>
      </c>
      <c r="C258" s="1">
        <v>11092</v>
      </c>
      <c r="D258" s="1">
        <v>5008</v>
      </c>
      <c r="E258" s="1">
        <v>5249</v>
      </c>
      <c r="F258" s="1">
        <v>453</v>
      </c>
      <c r="G258" s="1">
        <v>392</v>
      </c>
      <c r="H258" s="1">
        <v>373</v>
      </c>
      <c r="I258" t="str">
        <f t="shared" si="13"/>
        <v>Horeca</v>
      </c>
      <c r="J258" t="str">
        <f t="shared" si="10"/>
        <v>Lisbon</v>
      </c>
      <c r="K258" s="1">
        <f t="shared" si="11"/>
        <v>22567</v>
      </c>
    </row>
    <row r="259" spans="1:11">
      <c r="A259">
        <v>1</v>
      </c>
      <c r="B259">
        <v>1</v>
      </c>
      <c r="C259" s="1">
        <v>8475</v>
      </c>
      <c r="D259" s="1">
        <v>1931</v>
      </c>
      <c r="E259" s="1">
        <v>1883</v>
      </c>
      <c r="F259" s="1">
        <v>5004</v>
      </c>
      <c r="G259" s="1">
        <v>3593</v>
      </c>
      <c r="H259" s="1">
        <v>987</v>
      </c>
      <c r="I259" t="str">
        <f t="shared" si="13"/>
        <v>Horeca</v>
      </c>
      <c r="J259" t="str">
        <f t="shared" ref="J259:J322" si="14">IF(B259=1,"Lisbon",IF(B259=2,"Oporto",IF(B259=3,"Other","Check")))</f>
        <v>Lisbon</v>
      </c>
      <c r="K259" s="1">
        <f t="shared" ref="K259:K322" si="15">SUM(C259:H259)</f>
        <v>21873</v>
      </c>
    </row>
    <row r="260" spans="1:11">
      <c r="A260">
        <v>1</v>
      </c>
      <c r="B260">
        <v>1</v>
      </c>
      <c r="C260" s="1">
        <v>56083</v>
      </c>
      <c r="D260" s="1">
        <v>4563</v>
      </c>
      <c r="E260" s="1">
        <v>2124</v>
      </c>
      <c r="F260" s="1">
        <v>6422</v>
      </c>
      <c r="G260" s="1">
        <v>730</v>
      </c>
      <c r="H260" s="1">
        <v>3321</v>
      </c>
      <c r="I260" t="str">
        <f t="shared" si="13"/>
        <v>Horeca</v>
      </c>
      <c r="J260" t="str">
        <f t="shared" si="14"/>
        <v>Lisbon</v>
      </c>
      <c r="K260" s="1">
        <f t="shared" si="15"/>
        <v>73243</v>
      </c>
    </row>
    <row r="261" spans="1:11">
      <c r="A261">
        <v>1</v>
      </c>
      <c r="B261">
        <v>1</v>
      </c>
      <c r="C261" s="1">
        <v>53205</v>
      </c>
      <c r="D261" s="1">
        <v>4959</v>
      </c>
      <c r="E261" s="1">
        <v>7336</v>
      </c>
      <c r="F261" s="1">
        <v>3012</v>
      </c>
      <c r="G261" s="1">
        <v>967</v>
      </c>
      <c r="H261" s="1">
        <v>818</v>
      </c>
      <c r="I261" t="str">
        <f t="shared" si="13"/>
        <v>Horeca</v>
      </c>
      <c r="J261" t="str">
        <f t="shared" si="14"/>
        <v>Lisbon</v>
      </c>
      <c r="K261" s="1">
        <f t="shared" si="15"/>
        <v>70297</v>
      </c>
    </row>
    <row r="262" spans="1:11">
      <c r="A262">
        <v>1</v>
      </c>
      <c r="B262">
        <v>1</v>
      </c>
      <c r="C262" s="1">
        <v>9193</v>
      </c>
      <c r="D262" s="1">
        <v>4885</v>
      </c>
      <c r="E262" s="1">
        <v>2157</v>
      </c>
      <c r="F262" s="1">
        <v>327</v>
      </c>
      <c r="G262" s="1">
        <v>780</v>
      </c>
      <c r="H262" s="1">
        <v>548</v>
      </c>
      <c r="I262" t="str">
        <f t="shared" si="13"/>
        <v>Horeca</v>
      </c>
      <c r="J262" t="str">
        <f t="shared" si="14"/>
        <v>Lisbon</v>
      </c>
      <c r="K262" s="1">
        <f t="shared" si="15"/>
        <v>17890</v>
      </c>
    </row>
    <row r="263" spans="1:11">
      <c r="A263">
        <v>1</v>
      </c>
      <c r="B263">
        <v>1</v>
      </c>
      <c r="C263" s="1">
        <v>7858</v>
      </c>
      <c r="D263" s="1">
        <v>1110</v>
      </c>
      <c r="E263" s="1">
        <v>1094</v>
      </c>
      <c r="F263" s="1">
        <v>6818</v>
      </c>
      <c r="G263" s="1">
        <v>49</v>
      </c>
      <c r="H263" s="1">
        <v>287</v>
      </c>
      <c r="I263" t="str">
        <f t="shared" si="13"/>
        <v>Horeca</v>
      </c>
      <c r="J263" t="str">
        <f t="shared" si="14"/>
        <v>Lisbon</v>
      </c>
      <c r="K263" s="1">
        <f t="shared" si="15"/>
        <v>17216</v>
      </c>
    </row>
    <row r="264" spans="1:11">
      <c r="A264">
        <v>1</v>
      </c>
      <c r="B264">
        <v>1</v>
      </c>
      <c r="C264" s="1">
        <v>23257</v>
      </c>
      <c r="D264" s="1">
        <v>1372</v>
      </c>
      <c r="E264" s="1">
        <v>1677</v>
      </c>
      <c r="F264" s="1">
        <v>982</v>
      </c>
      <c r="G264" s="1">
        <v>429</v>
      </c>
      <c r="H264" s="1">
        <v>655</v>
      </c>
      <c r="I264" t="str">
        <f t="shared" si="13"/>
        <v>Horeca</v>
      </c>
      <c r="J264" t="str">
        <f t="shared" si="14"/>
        <v>Lisbon</v>
      </c>
      <c r="K264" s="1">
        <f t="shared" si="15"/>
        <v>28372</v>
      </c>
    </row>
    <row r="265" spans="1:11">
      <c r="A265">
        <v>1</v>
      </c>
      <c r="B265">
        <v>1</v>
      </c>
      <c r="C265" s="1">
        <v>2153</v>
      </c>
      <c r="D265" s="1">
        <v>1115</v>
      </c>
      <c r="E265" s="1">
        <v>6684</v>
      </c>
      <c r="F265" s="1">
        <v>4324</v>
      </c>
      <c r="G265" s="1">
        <v>2894</v>
      </c>
      <c r="H265" s="1">
        <v>411</v>
      </c>
      <c r="I265" t="str">
        <f t="shared" si="13"/>
        <v>Horeca</v>
      </c>
      <c r="J265" t="str">
        <f t="shared" si="14"/>
        <v>Lisbon</v>
      </c>
      <c r="K265" s="1">
        <f t="shared" si="15"/>
        <v>17581</v>
      </c>
    </row>
    <row r="266" spans="1:11">
      <c r="A266">
        <v>2</v>
      </c>
      <c r="B266">
        <v>1</v>
      </c>
      <c r="C266" s="1">
        <v>1073</v>
      </c>
      <c r="D266" s="1">
        <v>9679</v>
      </c>
      <c r="E266" s="1">
        <v>15445</v>
      </c>
      <c r="F266" s="1">
        <v>61</v>
      </c>
      <c r="G266" s="1">
        <v>5980</v>
      </c>
      <c r="H266" s="1">
        <v>1265</v>
      </c>
      <c r="I266" t="str">
        <f t="shared" si="13"/>
        <v>Retail</v>
      </c>
      <c r="J266" t="str">
        <f t="shared" si="14"/>
        <v>Lisbon</v>
      </c>
      <c r="K266" s="1">
        <f t="shared" si="15"/>
        <v>33503</v>
      </c>
    </row>
    <row r="267" spans="1:11">
      <c r="A267">
        <v>1</v>
      </c>
      <c r="B267">
        <v>1</v>
      </c>
      <c r="C267" s="1">
        <v>5909</v>
      </c>
      <c r="D267" s="1">
        <v>23527</v>
      </c>
      <c r="E267" s="1">
        <v>13699</v>
      </c>
      <c r="F267" s="1">
        <v>10155</v>
      </c>
      <c r="G267" s="1">
        <v>830</v>
      </c>
      <c r="H267" s="1">
        <v>3636</v>
      </c>
      <c r="I267" t="str">
        <f t="shared" si="13"/>
        <v>Horeca</v>
      </c>
      <c r="J267" t="str">
        <f t="shared" si="14"/>
        <v>Lisbon</v>
      </c>
      <c r="K267" s="1">
        <f t="shared" si="15"/>
        <v>57756</v>
      </c>
    </row>
    <row r="268" spans="1:11">
      <c r="A268">
        <v>2</v>
      </c>
      <c r="B268">
        <v>1</v>
      </c>
      <c r="C268" s="1">
        <v>572</v>
      </c>
      <c r="D268" s="1">
        <v>9763</v>
      </c>
      <c r="E268" s="1">
        <v>22182</v>
      </c>
      <c r="F268" s="1">
        <v>2221</v>
      </c>
      <c r="G268" s="1">
        <v>4882</v>
      </c>
      <c r="H268" s="1">
        <v>2563</v>
      </c>
      <c r="I268" t="str">
        <f t="shared" si="13"/>
        <v>Retail</v>
      </c>
      <c r="J268" t="str">
        <f t="shared" si="14"/>
        <v>Lisbon</v>
      </c>
      <c r="K268" s="1">
        <f t="shared" si="15"/>
        <v>42183</v>
      </c>
    </row>
    <row r="269" spans="1:11">
      <c r="A269">
        <v>1</v>
      </c>
      <c r="B269">
        <v>1</v>
      </c>
      <c r="C269" s="1">
        <v>20893</v>
      </c>
      <c r="D269" s="1">
        <v>1222</v>
      </c>
      <c r="E269" s="1">
        <v>2576</v>
      </c>
      <c r="F269" s="1">
        <v>3975</v>
      </c>
      <c r="G269" s="1">
        <v>737</v>
      </c>
      <c r="H269" s="1">
        <v>3628</v>
      </c>
      <c r="I269" t="str">
        <f t="shared" si="13"/>
        <v>Horeca</v>
      </c>
      <c r="J269" t="str">
        <f t="shared" si="14"/>
        <v>Lisbon</v>
      </c>
      <c r="K269" s="1">
        <f t="shared" si="15"/>
        <v>33031</v>
      </c>
    </row>
    <row r="270" spans="1:11">
      <c r="A270">
        <v>2</v>
      </c>
      <c r="B270">
        <v>1</v>
      </c>
      <c r="C270" s="1">
        <v>11908</v>
      </c>
      <c r="D270" s="1">
        <v>8053</v>
      </c>
      <c r="E270" s="1">
        <v>19847</v>
      </c>
      <c r="F270" s="1">
        <v>1069</v>
      </c>
      <c r="G270" s="1">
        <v>6374</v>
      </c>
      <c r="H270" s="1">
        <v>698</v>
      </c>
      <c r="I270" t="str">
        <f t="shared" si="13"/>
        <v>Retail</v>
      </c>
      <c r="J270" t="str">
        <f t="shared" si="14"/>
        <v>Lisbon</v>
      </c>
      <c r="K270" s="1">
        <f t="shared" si="15"/>
        <v>47949</v>
      </c>
    </row>
    <row r="271" spans="1:11">
      <c r="A271">
        <v>1</v>
      </c>
      <c r="B271">
        <v>1</v>
      </c>
      <c r="C271" s="1">
        <v>15218</v>
      </c>
      <c r="D271" s="1">
        <v>258</v>
      </c>
      <c r="E271" s="1">
        <v>1138</v>
      </c>
      <c r="F271" s="1">
        <v>2516</v>
      </c>
      <c r="G271" s="1">
        <v>333</v>
      </c>
      <c r="H271" s="1">
        <v>204</v>
      </c>
      <c r="I271" t="str">
        <f t="shared" si="13"/>
        <v>Horeca</v>
      </c>
      <c r="J271" t="str">
        <f t="shared" si="14"/>
        <v>Lisbon</v>
      </c>
      <c r="K271" s="1">
        <f t="shared" si="15"/>
        <v>19667</v>
      </c>
    </row>
    <row r="272" spans="1:11">
      <c r="A272">
        <v>1</v>
      </c>
      <c r="B272">
        <v>1</v>
      </c>
      <c r="C272" s="1">
        <v>4720</v>
      </c>
      <c r="D272" s="1">
        <v>1032</v>
      </c>
      <c r="E272" s="1">
        <v>975</v>
      </c>
      <c r="F272" s="1">
        <v>5500</v>
      </c>
      <c r="G272" s="1">
        <v>197</v>
      </c>
      <c r="H272" s="1">
        <v>56</v>
      </c>
      <c r="I272" t="str">
        <f t="shared" si="13"/>
        <v>Horeca</v>
      </c>
      <c r="J272" t="str">
        <f t="shared" si="14"/>
        <v>Lisbon</v>
      </c>
      <c r="K272" s="1">
        <f t="shared" si="15"/>
        <v>12480</v>
      </c>
    </row>
    <row r="273" spans="1:11">
      <c r="A273">
        <v>1</v>
      </c>
      <c r="B273">
        <v>1</v>
      </c>
      <c r="C273" s="1">
        <v>2083</v>
      </c>
      <c r="D273" s="1">
        <v>5007</v>
      </c>
      <c r="E273" s="1">
        <v>1563</v>
      </c>
      <c r="F273" s="1">
        <v>1120</v>
      </c>
      <c r="G273" s="1">
        <v>147</v>
      </c>
      <c r="H273" s="1">
        <v>1550</v>
      </c>
      <c r="I273" t="str">
        <f t="shared" si="13"/>
        <v>Horeca</v>
      </c>
      <c r="J273" t="str">
        <f t="shared" si="14"/>
        <v>Lisbon</v>
      </c>
      <c r="K273" s="1">
        <f t="shared" si="15"/>
        <v>11470</v>
      </c>
    </row>
    <row r="274" spans="1:11">
      <c r="A274">
        <v>1</v>
      </c>
      <c r="B274">
        <v>1</v>
      </c>
      <c r="C274" s="1">
        <v>514</v>
      </c>
      <c r="D274" s="1">
        <v>8323</v>
      </c>
      <c r="E274" s="1">
        <v>6869</v>
      </c>
      <c r="F274" s="1">
        <v>529</v>
      </c>
      <c r="G274" s="1">
        <v>93</v>
      </c>
      <c r="H274" s="1">
        <v>1040</v>
      </c>
      <c r="I274" t="str">
        <f t="shared" si="13"/>
        <v>Horeca</v>
      </c>
      <c r="J274" t="str">
        <f t="shared" si="14"/>
        <v>Lisbon</v>
      </c>
      <c r="K274" s="1">
        <f t="shared" si="15"/>
        <v>17368</v>
      </c>
    </row>
    <row r="275" spans="1:11">
      <c r="A275">
        <v>1</v>
      </c>
      <c r="B275">
        <v>3</v>
      </c>
      <c r="C275" s="1">
        <v>36817</v>
      </c>
      <c r="D275" s="1">
        <v>3045</v>
      </c>
      <c r="E275" s="1">
        <v>1493</v>
      </c>
      <c r="F275" s="1">
        <v>4802</v>
      </c>
      <c r="G275" s="1">
        <v>210</v>
      </c>
      <c r="H275" s="1">
        <v>1824</v>
      </c>
      <c r="I275" t="str">
        <f t="shared" si="13"/>
        <v>Horeca</v>
      </c>
      <c r="J275" t="str">
        <f t="shared" si="14"/>
        <v>Other</v>
      </c>
      <c r="K275" s="1">
        <f t="shared" si="15"/>
        <v>48191</v>
      </c>
    </row>
    <row r="276" spans="1:11">
      <c r="A276">
        <v>1</v>
      </c>
      <c r="B276">
        <v>3</v>
      </c>
      <c r="C276" s="1">
        <v>894</v>
      </c>
      <c r="D276" s="1">
        <v>1703</v>
      </c>
      <c r="E276" s="1">
        <v>1841</v>
      </c>
      <c r="F276" s="1">
        <v>744</v>
      </c>
      <c r="G276" s="1">
        <v>759</v>
      </c>
      <c r="H276" s="1">
        <v>1153</v>
      </c>
      <c r="I276" t="str">
        <f t="shared" si="13"/>
        <v>Horeca</v>
      </c>
      <c r="J276" t="str">
        <f t="shared" si="14"/>
        <v>Other</v>
      </c>
      <c r="K276" s="1">
        <f t="shared" si="15"/>
        <v>7094</v>
      </c>
    </row>
    <row r="277" spans="1:11">
      <c r="A277">
        <v>1</v>
      </c>
      <c r="B277">
        <v>3</v>
      </c>
      <c r="C277" s="1">
        <v>680</v>
      </c>
      <c r="D277" s="1">
        <v>1610</v>
      </c>
      <c r="E277" s="1">
        <v>223</v>
      </c>
      <c r="F277" s="1">
        <v>862</v>
      </c>
      <c r="G277" s="1">
        <v>96</v>
      </c>
      <c r="H277" s="1">
        <v>379</v>
      </c>
      <c r="I277" t="str">
        <f t="shared" si="13"/>
        <v>Horeca</v>
      </c>
      <c r="J277" t="str">
        <f t="shared" si="14"/>
        <v>Other</v>
      </c>
      <c r="K277" s="1">
        <f t="shared" si="15"/>
        <v>3850</v>
      </c>
    </row>
    <row r="278" spans="1:11">
      <c r="A278">
        <v>1</v>
      </c>
      <c r="B278">
        <v>3</v>
      </c>
      <c r="C278" s="1">
        <v>27901</v>
      </c>
      <c r="D278" s="1">
        <v>3749</v>
      </c>
      <c r="E278" s="1">
        <v>6964</v>
      </c>
      <c r="F278" s="1">
        <v>4479</v>
      </c>
      <c r="G278" s="1">
        <v>603</v>
      </c>
      <c r="H278" s="1">
        <v>2503</v>
      </c>
      <c r="I278" t="str">
        <f t="shared" si="13"/>
        <v>Horeca</v>
      </c>
      <c r="J278" t="str">
        <f t="shared" si="14"/>
        <v>Other</v>
      </c>
      <c r="K278" s="1">
        <f t="shared" si="15"/>
        <v>46199</v>
      </c>
    </row>
    <row r="279" spans="1:11">
      <c r="A279">
        <v>1</v>
      </c>
      <c r="B279">
        <v>3</v>
      </c>
      <c r="C279" s="1">
        <v>9061</v>
      </c>
      <c r="D279" s="1">
        <v>829</v>
      </c>
      <c r="E279" s="1">
        <v>683</v>
      </c>
      <c r="F279" s="1">
        <v>16919</v>
      </c>
      <c r="G279" s="1">
        <v>621</v>
      </c>
      <c r="H279" s="1">
        <v>139</v>
      </c>
      <c r="I279" t="str">
        <f t="shared" si="13"/>
        <v>Horeca</v>
      </c>
      <c r="J279" t="str">
        <f t="shared" si="14"/>
        <v>Other</v>
      </c>
      <c r="K279" s="1">
        <f t="shared" si="15"/>
        <v>28252</v>
      </c>
    </row>
    <row r="280" spans="1:11">
      <c r="A280">
        <v>1</v>
      </c>
      <c r="B280">
        <v>3</v>
      </c>
      <c r="C280" s="1">
        <v>11693</v>
      </c>
      <c r="D280" s="1">
        <v>2317</v>
      </c>
      <c r="E280" s="1">
        <v>2543</v>
      </c>
      <c r="F280" s="1">
        <v>5845</v>
      </c>
      <c r="G280" s="1">
        <v>274</v>
      </c>
      <c r="H280" s="1">
        <v>1409</v>
      </c>
      <c r="I280" t="str">
        <f t="shared" si="13"/>
        <v>Horeca</v>
      </c>
      <c r="J280" t="str">
        <f t="shared" si="14"/>
        <v>Other</v>
      </c>
      <c r="K280" s="1">
        <f t="shared" si="15"/>
        <v>24081</v>
      </c>
    </row>
    <row r="281" spans="1:11">
      <c r="A281">
        <v>2</v>
      </c>
      <c r="B281">
        <v>3</v>
      </c>
      <c r="C281" s="1">
        <v>17360</v>
      </c>
      <c r="D281" s="1">
        <v>6200</v>
      </c>
      <c r="E281" s="1">
        <v>9694</v>
      </c>
      <c r="F281" s="1">
        <v>1293</v>
      </c>
      <c r="G281" s="1">
        <v>3620</v>
      </c>
      <c r="H281" s="1">
        <v>1721</v>
      </c>
      <c r="I281" t="str">
        <f t="shared" si="13"/>
        <v>Retail</v>
      </c>
      <c r="J281" t="str">
        <f t="shared" si="14"/>
        <v>Other</v>
      </c>
      <c r="K281" s="1">
        <f t="shared" si="15"/>
        <v>39888</v>
      </c>
    </row>
    <row r="282" spans="1:11">
      <c r="A282">
        <v>1</v>
      </c>
      <c r="B282">
        <v>3</v>
      </c>
      <c r="C282" s="1">
        <v>3366</v>
      </c>
      <c r="D282" s="1">
        <v>2884</v>
      </c>
      <c r="E282" s="1">
        <v>2431</v>
      </c>
      <c r="F282" s="1">
        <v>977</v>
      </c>
      <c r="G282" s="1">
        <v>167</v>
      </c>
      <c r="H282" s="1">
        <v>1104</v>
      </c>
      <c r="I282" t="str">
        <f t="shared" si="13"/>
        <v>Horeca</v>
      </c>
      <c r="J282" t="str">
        <f t="shared" si="14"/>
        <v>Other</v>
      </c>
      <c r="K282" s="1">
        <f t="shared" si="15"/>
        <v>10929</v>
      </c>
    </row>
    <row r="283" spans="1:11">
      <c r="A283">
        <v>2</v>
      </c>
      <c r="B283">
        <v>3</v>
      </c>
      <c r="C283" s="1">
        <v>12238</v>
      </c>
      <c r="D283" s="1">
        <v>7108</v>
      </c>
      <c r="E283" s="1">
        <v>6235</v>
      </c>
      <c r="F283" s="1">
        <v>1093</v>
      </c>
      <c r="G283" s="1">
        <v>2328</v>
      </c>
      <c r="H283" s="1">
        <v>2079</v>
      </c>
      <c r="I283" t="str">
        <f t="shared" si="13"/>
        <v>Retail</v>
      </c>
      <c r="J283" t="str">
        <f t="shared" si="14"/>
        <v>Other</v>
      </c>
      <c r="K283" s="1">
        <f t="shared" si="15"/>
        <v>31081</v>
      </c>
    </row>
    <row r="284" spans="1:11">
      <c r="A284">
        <v>1</v>
      </c>
      <c r="B284">
        <v>3</v>
      </c>
      <c r="C284" s="1">
        <v>49063</v>
      </c>
      <c r="D284" s="1">
        <v>3965</v>
      </c>
      <c r="E284" s="1">
        <v>4252</v>
      </c>
      <c r="F284" s="1">
        <v>5970</v>
      </c>
      <c r="G284" s="1">
        <v>1041</v>
      </c>
      <c r="H284" s="1">
        <v>1404</v>
      </c>
      <c r="I284" t="str">
        <f t="shared" si="13"/>
        <v>Horeca</v>
      </c>
      <c r="J284" t="str">
        <f t="shared" si="14"/>
        <v>Other</v>
      </c>
      <c r="K284" s="1">
        <f t="shared" si="15"/>
        <v>65695</v>
      </c>
    </row>
    <row r="285" spans="1:11">
      <c r="A285">
        <v>1</v>
      </c>
      <c r="B285">
        <v>3</v>
      </c>
      <c r="C285" s="1">
        <v>25767</v>
      </c>
      <c r="D285" s="1">
        <v>3613</v>
      </c>
      <c r="E285" s="1">
        <v>2013</v>
      </c>
      <c r="F285" s="1">
        <v>10303</v>
      </c>
      <c r="G285" s="1">
        <v>314</v>
      </c>
      <c r="H285" s="1">
        <v>1384</v>
      </c>
      <c r="I285" t="str">
        <f t="shared" si="13"/>
        <v>Horeca</v>
      </c>
      <c r="J285" t="str">
        <f t="shared" si="14"/>
        <v>Other</v>
      </c>
      <c r="K285" s="1">
        <f t="shared" si="15"/>
        <v>43394</v>
      </c>
    </row>
    <row r="286" spans="1:11">
      <c r="A286">
        <v>1</v>
      </c>
      <c r="B286">
        <v>3</v>
      </c>
      <c r="C286" s="1">
        <v>68951</v>
      </c>
      <c r="D286" s="1">
        <v>4411</v>
      </c>
      <c r="E286" s="1">
        <v>12609</v>
      </c>
      <c r="F286" s="1">
        <v>8692</v>
      </c>
      <c r="G286" s="1">
        <v>751</v>
      </c>
      <c r="H286" s="1">
        <v>2406</v>
      </c>
      <c r="I286" t="str">
        <f t="shared" si="13"/>
        <v>Horeca</v>
      </c>
      <c r="J286" t="str">
        <f t="shared" si="14"/>
        <v>Other</v>
      </c>
      <c r="K286" s="1">
        <f t="shared" si="15"/>
        <v>97820</v>
      </c>
    </row>
    <row r="287" spans="1:11">
      <c r="A287">
        <v>1</v>
      </c>
      <c r="B287">
        <v>3</v>
      </c>
      <c r="C287" s="1">
        <v>40254</v>
      </c>
      <c r="D287" s="1">
        <v>640</v>
      </c>
      <c r="E287" s="1">
        <v>3600</v>
      </c>
      <c r="F287" s="1">
        <v>1042</v>
      </c>
      <c r="G287" s="1">
        <v>436</v>
      </c>
      <c r="H287" s="1">
        <v>18</v>
      </c>
      <c r="I287" t="str">
        <f t="shared" si="13"/>
        <v>Horeca</v>
      </c>
      <c r="J287" t="str">
        <f t="shared" si="14"/>
        <v>Other</v>
      </c>
      <c r="K287" s="1">
        <f t="shared" si="15"/>
        <v>45990</v>
      </c>
    </row>
    <row r="288" spans="1:11">
      <c r="A288">
        <v>1</v>
      </c>
      <c r="B288">
        <v>3</v>
      </c>
      <c r="C288" s="1">
        <v>7149</v>
      </c>
      <c r="D288" s="1">
        <v>2247</v>
      </c>
      <c r="E288" s="1">
        <v>1242</v>
      </c>
      <c r="F288" s="1">
        <v>1619</v>
      </c>
      <c r="G288" s="1">
        <v>1226</v>
      </c>
      <c r="H288" s="1">
        <v>128</v>
      </c>
      <c r="I288" t="str">
        <f t="shared" si="13"/>
        <v>Horeca</v>
      </c>
      <c r="J288" t="str">
        <f t="shared" si="14"/>
        <v>Other</v>
      </c>
      <c r="K288" s="1">
        <f t="shared" si="15"/>
        <v>13611</v>
      </c>
    </row>
    <row r="289" spans="1:11">
      <c r="A289">
        <v>1</v>
      </c>
      <c r="B289">
        <v>3</v>
      </c>
      <c r="C289" s="1">
        <v>15354</v>
      </c>
      <c r="D289" s="1">
        <v>2102</v>
      </c>
      <c r="E289" s="1">
        <v>2828</v>
      </c>
      <c r="F289" s="1">
        <v>8366</v>
      </c>
      <c r="G289" s="1">
        <v>386</v>
      </c>
      <c r="H289" s="1">
        <v>1027</v>
      </c>
      <c r="I289" t="str">
        <f t="shared" si="13"/>
        <v>Horeca</v>
      </c>
      <c r="J289" t="str">
        <f t="shared" si="14"/>
        <v>Other</v>
      </c>
      <c r="K289" s="1">
        <f t="shared" si="15"/>
        <v>30063</v>
      </c>
    </row>
    <row r="290" spans="1:11">
      <c r="A290">
        <v>1</v>
      </c>
      <c r="B290">
        <v>3</v>
      </c>
      <c r="C290" s="1">
        <v>16260</v>
      </c>
      <c r="D290" s="1">
        <v>594</v>
      </c>
      <c r="E290" s="1">
        <v>1296</v>
      </c>
      <c r="F290" s="1">
        <v>848</v>
      </c>
      <c r="G290" s="1">
        <v>445</v>
      </c>
      <c r="H290" s="1">
        <v>258</v>
      </c>
      <c r="I290" t="str">
        <f t="shared" si="13"/>
        <v>Horeca</v>
      </c>
      <c r="J290" t="str">
        <f t="shared" si="14"/>
        <v>Other</v>
      </c>
      <c r="K290" s="1">
        <f t="shared" si="15"/>
        <v>19701</v>
      </c>
    </row>
    <row r="291" spans="1:11">
      <c r="A291">
        <v>1</v>
      </c>
      <c r="B291">
        <v>3</v>
      </c>
      <c r="C291" s="1">
        <v>42786</v>
      </c>
      <c r="D291" s="1">
        <v>286</v>
      </c>
      <c r="E291" s="1">
        <v>471</v>
      </c>
      <c r="F291" s="1">
        <v>1388</v>
      </c>
      <c r="G291" s="1">
        <v>32</v>
      </c>
      <c r="H291" s="1">
        <v>22</v>
      </c>
      <c r="I291" t="str">
        <f t="shared" si="13"/>
        <v>Horeca</v>
      </c>
      <c r="J291" t="str">
        <f t="shared" si="14"/>
        <v>Other</v>
      </c>
      <c r="K291" s="1">
        <f t="shared" si="15"/>
        <v>44985</v>
      </c>
    </row>
    <row r="292" spans="1:11">
      <c r="A292">
        <v>1</v>
      </c>
      <c r="B292">
        <v>3</v>
      </c>
      <c r="C292" s="1">
        <v>2708</v>
      </c>
      <c r="D292" s="1">
        <v>2160</v>
      </c>
      <c r="E292" s="1">
        <v>2642</v>
      </c>
      <c r="F292" s="1">
        <v>502</v>
      </c>
      <c r="G292" s="1">
        <v>965</v>
      </c>
      <c r="H292" s="1">
        <v>1522</v>
      </c>
      <c r="I292" t="str">
        <f t="shared" si="13"/>
        <v>Horeca</v>
      </c>
      <c r="J292" t="str">
        <f t="shared" si="14"/>
        <v>Other</v>
      </c>
      <c r="K292" s="1">
        <f t="shared" si="15"/>
        <v>10499</v>
      </c>
    </row>
    <row r="293" spans="1:11">
      <c r="A293">
        <v>1</v>
      </c>
      <c r="B293">
        <v>3</v>
      </c>
      <c r="C293" s="1">
        <v>6022</v>
      </c>
      <c r="D293" s="1">
        <v>3354</v>
      </c>
      <c r="E293" s="1">
        <v>3261</v>
      </c>
      <c r="F293" s="1">
        <v>2507</v>
      </c>
      <c r="G293" s="1">
        <v>212</v>
      </c>
      <c r="H293" s="1">
        <v>686</v>
      </c>
      <c r="I293" t="str">
        <f t="shared" si="13"/>
        <v>Horeca</v>
      </c>
      <c r="J293" t="str">
        <f t="shared" si="14"/>
        <v>Other</v>
      </c>
      <c r="K293" s="1">
        <f t="shared" si="15"/>
        <v>16042</v>
      </c>
    </row>
    <row r="294" spans="1:11">
      <c r="A294">
        <v>1</v>
      </c>
      <c r="B294">
        <v>3</v>
      </c>
      <c r="C294" s="1">
        <v>2838</v>
      </c>
      <c r="D294" s="1">
        <v>3086</v>
      </c>
      <c r="E294" s="1">
        <v>4329</v>
      </c>
      <c r="F294" s="1">
        <v>3838</v>
      </c>
      <c r="G294" s="1">
        <v>825</v>
      </c>
      <c r="H294" s="1">
        <v>1060</v>
      </c>
      <c r="I294" t="str">
        <f t="shared" si="13"/>
        <v>Horeca</v>
      </c>
      <c r="J294" t="str">
        <f t="shared" si="14"/>
        <v>Other</v>
      </c>
      <c r="K294" s="1">
        <f t="shared" si="15"/>
        <v>15976</v>
      </c>
    </row>
    <row r="295" spans="1:11">
      <c r="A295">
        <v>2</v>
      </c>
      <c r="B295">
        <v>2</v>
      </c>
      <c r="C295" s="1">
        <v>3996</v>
      </c>
      <c r="D295" s="1">
        <v>11103</v>
      </c>
      <c r="E295" s="1">
        <v>12469</v>
      </c>
      <c r="F295" s="1">
        <v>902</v>
      </c>
      <c r="G295" s="1">
        <v>5952</v>
      </c>
      <c r="H295" s="1">
        <v>741</v>
      </c>
      <c r="I295" t="str">
        <f t="shared" si="13"/>
        <v>Retail</v>
      </c>
      <c r="J295" t="str">
        <f t="shared" si="14"/>
        <v>Oporto</v>
      </c>
      <c r="K295" s="1">
        <f t="shared" si="15"/>
        <v>35163</v>
      </c>
    </row>
    <row r="296" spans="1:11">
      <c r="A296">
        <v>1</v>
      </c>
      <c r="B296">
        <v>2</v>
      </c>
      <c r="C296" s="1">
        <v>21273</v>
      </c>
      <c r="D296" s="1">
        <v>2013</v>
      </c>
      <c r="E296" s="1">
        <v>6550</v>
      </c>
      <c r="F296" s="1">
        <v>909</v>
      </c>
      <c r="G296" s="1">
        <v>811</v>
      </c>
      <c r="H296" s="1">
        <v>1854</v>
      </c>
      <c r="I296" t="str">
        <f t="shared" si="13"/>
        <v>Horeca</v>
      </c>
      <c r="J296" t="str">
        <f t="shared" si="14"/>
        <v>Oporto</v>
      </c>
      <c r="K296" s="1">
        <f t="shared" si="15"/>
        <v>33410</v>
      </c>
    </row>
    <row r="297" spans="1:11">
      <c r="A297">
        <v>2</v>
      </c>
      <c r="B297">
        <v>2</v>
      </c>
      <c r="C297" s="1">
        <v>7588</v>
      </c>
      <c r="D297" s="1">
        <v>1897</v>
      </c>
      <c r="E297" s="1">
        <v>5234</v>
      </c>
      <c r="F297" s="1">
        <v>417</v>
      </c>
      <c r="G297" s="1">
        <v>2208</v>
      </c>
      <c r="H297" s="1">
        <v>254</v>
      </c>
      <c r="I297" t="str">
        <f t="shared" si="13"/>
        <v>Retail</v>
      </c>
      <c r="J297" t="str">
        <f t="shared" si="14"/>
        <v>Oporto</v>
      </c>
      <c r="K297" s="1">
        <f t="shared" si="15"/>
        <v>17598</v>
      </c>
    </row>
    <row r="298" spans="1:11">
      <c r="A298">
        <v>1</v>
      </c>
      <c r="B298">
        <v>2</v>
      </c>
      <c r="C298" s="1">
        <v>19087</v>
      </c>
      <c r="D298" s="1">
        <v>1304</v>
      </c>
      <c r="E298" s="1">
        <v>3643</v>
      </c>
      <c r="F298" s="1">
        <v>3045</v>
      </c>
      <c r="G298" s="1">
        <v>710</v>
      </c>
      <c r="H298" s="1">
        <v>898</v>
      </c>
      <c r="I298" t="str">
        <f t="shared" si="13"/>
        <v>Horeca</v>
      </c>
      <c r="J298" t="str">
        <f t="shared" si="14"/>
        <v>Oporto</v>
      </c>
      <c r="K298" s="1">
        <f t="shared" si="15"/>
        <v>28687</v>
      </c>
    </row>
    <row r="299" spans="1:11">
      <c r="A299">
        <v>2</v>
      </c>
      <c r="B299">
        <v>2</v>
      </c>
      <c r="C299" s="1">
        <v>8090</v>
      </c>
      <c r="D299" s="1">
        <v>3199</v>
      </c>
      <c r="E299" s="1">
        <v>6986</v>
      </c>
      <c r="F299" s="1">
        <v>1455</v>
      </c>
      <c r="G299" s="1">
        <v>3712</v>
      </c>
      <c r="H299" s="1">
        <v>531</v>
      </c>
      <c r="I299" t="str">
        <f t="shared" si="13"/>
        <v>Retail</v>
      </c>
      <c r="J299" t="str">
        <f t="shared" si="14"/>
        <v>Oporto</v>
      </c>
      <c r="K299" s="1">
        <f t="shared" si="15"/>
        <v>23973</v>
      </c>
    </row>
    <row r="300" spans="1:11">
      <c r="A300">
        <v>2</v>
      </c>
      <c r="B300">
        <v>2</v>
      </c>
      <c r="C300" s="1">
        <v>6758</v>
      </c>
      <c r="D300" s="1">
        <v>4560</v>
      </c>
      <c r="E300" s="1">
        <v>9965</v>
      </c>
      <c r="F300" s="1">
        <v>934</v>
      </c>
      <c r="G300" s="1">
        <v>4538</v>
      </c>
      <c r="H300" s="1">
        <v>1037</v>
      </c>
      <c r="I300" t="str">
        <f t="shared" si="13"/>
        <v>Retail</v>
      </c>
      <c r="J300" t="str">
        <f t="shared" si="14"/>
        <v>Oporto</v>
      </c>
      <c r="K300" s="1">
        <f t="shared" si="15"/>
        <v>27792</v>
      </c>
    </row>
    <row r="301" spans="1:11">
      <c r="A301">
        <v>1</v>
      </c>
      <c r="B301">
        <v>2</v>
      </c>
      <c r="C301" s="1">
        <v>444</v>
      </c>
      <c r="D301" s="1">
        <v>879</v>
      </c>
      <c r="E301" s="1">
        <v>2060</v>
      </c>
      <c r="F301" s="1">
        <v>264</v>
      </c>
      <c r="G301" s="1">
        <v>290</v>
      </c>
      <c r="H301" s="1">
        <v>259</v>
      </c>
      <c r="I301" t="str">
        <f t="shared" si="13"/>
        <v>Horeca</v>
      </c>
      <c r="J301" t="str">
        <f t="shared" si="14"/>
        <v>Oporto</v>
      </c>
      <c r="K301" s="1">
        <f t="shared" si="15"/>
        <v>4196</v>
      </c>
    </row>
    <row r="302" spans="1:11">
      <c r="A302">
        <v>2</v>
      </c>
      <c r="B302">
        <v>2</v>
      </c>
      <c r="C302" s="1">
        <v>16448</v>
      </c>
      <c r="D302" s="1">
        <v>6243</v>
      </c>
      <c r="E302" s="1">
        <v>6360</v>
      </c>
      <c r="F302" s="1">
        <v>824</v>
      </c>
      <c r="G302" s="1">
        <v>2662</v>
      </c>
      <c r="H302" s="1">
        <v>2005</v>
      </c>
      <c r="I302" t="str">
        <f t="shared" si="13"/>
        <v>Retail</v>
      </c>
      <c r="J302" t="str">
        <f t="shared" si="14"/>
        <v>Oporto</v>
      </c>
      <c r="K302" s="1">
        <f t="shared" si="15"/>
        <v>34542</v>
      </c>
    </row>
    <row r="303" spans="1:11">
      <c r="A303">
        <v>2</v>
      </c>
      <c r="B303">
        <v>2</v>
      </c>
      <c r="C303" s="1">
        <v>5283</v>
      </c>
      <c r="D303" s="1">
        <v>13316</v>
      </c>
      <c r="E303" s="1">
        <v>20399</v>
      </c>
      <c r="F303" s="1">
        <v>1809</v>
      </c>
      <c r="G303" s="1">
        <v>8752</v>
      </c>
      <c r="H303" s="1">
        <v>172</v>
      </c>
      <c r="I303" t="str">
        <f t="shared" si="13"/>
        <v>Retail</v>
      </c>
      <c r="J303" t="str">
        <f t="shared" si="14"/>
        <v>Oporto</v>
      </c>
      <c r="K303" s="1">
        <f t="shared" si="15"/>
        <v>49731</v>
      </c>
    </row>
    <row r="304" spans="1:11">
      <c r="A304">
        <v>2</v>
      </c>
      <c r="B304">
        <v>2</v>
      </c>
      <c r="C304" s="1">
        <v>2886</v>
      </c>
      <c r="D304" s="1">
        <v>5302</v>
      </c>
      <c r="E304" s="1">
        <v>9785</v>
      </c>
      <c r="F304" s="1">
        <v>364</v>
      </c>
      <c r="G304" s="1">
        <v>6236</v>
      </c>
      <c r="H304" s="1">
        <v>555</v>
      </c>
      <c r="I304" t="str">
        <f t="shared" si="13"/>
        <v>Retail</v>
      </c>
      <c r="J304" t="str">
        <f t="shared" si="14"/>
        <v>Oporto</v>
      </c>
      <c r="K304" s="1">
        <f t="shared" si="15"/>
        <v>25128</v>
      </c>
    </row>
    <row r="305" spans="1:11">
      <c r="A305">
        <v>2</v>
      </c>
      <c r="B305">
        <v>2</v>
      </c>
      <c r="C305" s="1">
        <v>2599</v>
      </c>
      <c r="D305" s="1">
        <v>3688</v>
      </c>
      <c r="E305" s="1">
        <v>13829</v>
      </c>
      <c r="F305" s="1">
        <v>492</v>
      </c>
      <c r="G305" s="1">
        <v>10069</v>
      </c>
      <c r="H305" s="1">
        <v>59</v>
      </c>
      <c r="I305" t="str">
        <f t="shared" si="13"/>
        <v>Retail</v>
      </c>
      <c r="J305" t="str">
        <f t="shared" si="14"/>
        <v>Oporto</v>
      </c>
      <c r="K305" s="1">
        <f t="shared" si="15"/>
        <v>30736</v>
      </c>
    </row>
    <row r="306" spans="1:11">
      <c r="A306">
        <v>2</v>
      </c>
      <c r="B306">
        <v>2</v>
      </c>
      <c r="C306" s="1">
        <v>161</v>
      </c>
      <c r="D306" s="1">
        <v>7460</v>
      </c>
      <c r="E306" s="1">
        <v>24773</v>
      </c>
      <c r="F306" s="1">
        <v>617</v>
      </c>
      <c r="G306" s="1">
        <v>11783</v>
      </c>
      <c r="H306" s="1">
        <v>2410</v>
      </c>
      <c r="I306" t="str">
        <f t="shared" si="13"/>
        <v>Retail</v>
      </c>
      <c r="J306" t="str">
        <f t="shared" si="14"/>
        <v>Oporto</v>
      </c>
      <c r="K306" s="1">
        <f t="shared" si="15"/>
        <v>47204</v>
      </c>
    </row>
    <row r="307" spans="1:11">
      <c r="A307">
        <v>2</v>
      </c>
      <c r="B307">
        <v>2</v>
      </c>
      <c r="C307" s="1">
        <v>243</v>
      </c>
      <c r="D307" s="1">
        <v>12939</v>
      </c>
      <c r="E307" s="1">
        <v>8852</v>
      </c>
      <c r="F307" s="1">
        <v>799</v>
      </c>
      <c r="G307" s="1">
        <v>3909</v>
      </c>
      <c r="H307" s="1">
        <v>211</v>
      </c>
      <c r="I307" t="str">
        <f t="shared" si="13"/>
        <v>Retail</v>
      </c>
      <c r="J307" t="str">
        <f t="shared" si="14"/>
        <v>Oporto</v>
      </c>
      <c r="K307" s="1">
        <f t="shared" si="15"/>
        <v>26953</v>
      </c>
    </row>
    <row r="308" spans="1:11">
      <c r="A308">
        <v>2</v>
      </c>
      <c r="B308">
        <v>2</v>
      </c>
      <c r="C308" s="1">
        <v>6468</v>
      </c>
      <c r="D308" s="1">
        <v>12867</v>
      </c>
      <c r="E308" s="1">
        <v>21570</v>
      </c>
      <c r="F308" s="1">
        <v>1840</v>
      </c>
      <c r="G308" s="1">
        <v>7558</v>
      </c>
      <c r="H308" s="1">
        <v>1543</v>
      </c>
      <c r="I308" t="str">
        <f t="shared" si="13"/>
        <v>Retail</v>
      </c>
      <c r="J308" t="str">
        <f t="shared" si="14"/>
        <v>Oporto</v>
      </c>
      <c r="K308" s="1">
        <f t="shared" si="15"/>
        <v>51846</v>
      </c>
    </row>
    <row r="309" spans="1:11">
      <c r="A309">
        <v>1</v>
      </c>
      <c r="B309">
        <v>2</v>
      </c>
      <c r="C309" s="1">
        <v>17327</v>
      </c>
      <c r="D309" s="1">
        <v>2374</v>
      </c>
      <c r="E309" s="1">
        <v>2842</v>
      </c>
      <c r="F309" s="1">
        <v>1149</v>
      </c>
      <c r="G309" s="1">
        <v>351</v>
      </c>
      <c r="H309" s="1">
        <v>925</v>
      </c>
      <c r="I309" t="str">
        <f t="shared" si="13"/>
        <v>Horeca</v>
      </c>
      <c r="J309" t="str">
        <f t="shared" si="14"/>
        <v>Oporto</v>
      </c>
      <c r="K309" s="1">
        <f t="shared" si="15"/>
        <v>24968</v>
      </c>
    </row>
    <row r="310" spans="1:11">
      <c r="A310">
        <v>1</v>
      </c>
      <c r="B310">
        <v>2</v>
      </c>
      <c r="C310" s="1">
        <v>6987</v>
      </c>
      <c r="D310" s="1">
        <v>1020</v>
      </c>
      <c r="E310" s="1">
        <v>3007</v>
      </c>
      <c r="F310" s="1">
        <v>416</v>
      </c>
      <c r="G310" s="1">
        <v>257</v>
      </c>
      <c r="H310" s="1">
        <v>656</v>
      </c>
      <c r="I310" t="str">
        <f t="shared" si="13"/>
        <v>Horeca</v>
      </c>
      <c r="J310" t="str">
        <f t="shared" si="14"/>
        <v>Oporto</v>
      </c>
      <c r="K310" s="1">
        <f t="shared" si="15"/>
        <v>12343</v>
      </c>
    </row>
    <row r="311" spans="1:11">
      <c r="A311">
        <v>2</v>
      </c>
      <c r="B311">
        <v>2</v>
      </c>
      <c r="C311" s="1">
        <v>918</v>
      </c>
      <c r="D311" s="1">
        <v>20655</v>
      </c>
      <c r="E311" s="1">
        <v>13567</v>
      </c>
      <c r="F311" s="1">
        <v>1465</v>
      </c>
      <c r="G311" s="1">
        <v>6846</v>
      </c>
      <c r="H311" s="1">
        <v>806</v>
      </c>
      <c r="I311" t="str">
        <f t="shared" si="13"/>
        <v>Retail</v>
      </c>
      <c r="J311" t="str">
        <f t="shared" si="14"/>
        <v>Oporto</v>
      </c>
      <c r="K311" s="1">
        <f t="shared" si="15"/>
        <v>44257</v>
      </c>
    </row>
    <row r="312" spans="1:11">
      <c r="A312">
        <v>1</v>
      </c>
      <c r="B312">
        <v>2</v>
      </c>
      <c r="C312" s="1">
        <v>7034</v>
      </c>
      <c r="D312" s="1">
        <v>1492</v>
      </c>
      <c r="E312" s="1">
        <v>2405</v>
      </c>
      <c r="F312" s="1">
        <v>12569</v>
      </c>
      <c r="G312" s="1">
        <v>299</v>
      </c>
      <c r="H312" s="1">
        <v>1117</v>
      </c>
      <c r="I312" t="str">
        <f t="shared" si="13"/>
        <v>Horeca</v>
      </c>
      <c r="J312" t="str">
        <f t="shared" si="14"/>
        <v>Oporto</v>
      </c>
      <c r="K312" s="1">
        <f t="shared" si="15"/>
        <v>24916</v>
      </c>
    </row>
    <row r="313" spans="1:11">
      <c r="A313">
        <v>1</v>
      </c>
      <c r="B313">
        <v>2</v>
      </c>
      <c r="C313" s="1">
        <v>29635</v>
      </c>
      <c r="D313" s="1">
        <v>2335</v>
      </c>
      <c r="E313" s="1">
        <v>8280</v>
      </c>
      <c r="F313" s="1">
        <v>3046</v>
      </c>
      <c r="G313" s="1">
        <v>371</v>
      </c>
      <c r="H313" s="1">
        <v>117</v>
      </c>
      <c r="I313" t="str">
        <f t="shared" si="13"/>
        <v>Horeca</v>
      </c>
      <c r="J313" t="str">
        <f t="shared" si="14"/>
        <v>Oporto</v>
      </c>
      <c r="K313" s="1">
        <f t="shared" si="15"/>
        <v>43784</v>
      </c>
    </row>
    <row r="314" spans="1:11">
      <c r="A314">
        <v>2</v>
      </c>
      <c r="B314">
        <v>2</v>
      </c>
      <c r="C314" s="1">
        <v>2137</v>
      </c>
      <c r="D314" s="1">
        <v>3737</v>
      </c>
      <c r="E314" s="1">
        <v>19172</v>
      </c>
      <c r="F314" s="1">
        <v>1274</v>
      </c>
      <c r="G314" s="1">
        <v>17120</v>
      </c>
      <c r="H314" s="1">
        <v>142</v>
      </c>
      <c r="I314" t="str">
        <f>IF(A314=1,"Horeca",IF(A314=2,"Retail","Check"))</f>
        <v>Retail</v>
      </c>
      <c r="J314" t="str">
        <f t="shared" si="14"/>
        <v>Oporto</v>
      </c>
      <c r="K314" s="1">
        <f t="shared" si="15"/>
        <v>43582</v>
      </c>
    </row>
    <row r="315" spans="1:11">
      <c r="A315">
        <v>1</v>
      </c>
      <c r="B315">
        <v>2</v>
      </c>
      <c r="C315" s="1">
        <v>9784</v>
      </c>
      <c r="D315" s="1">
        <v>925</v>
      </c>
      <c r="E315" s="1">
        <v>2405</v>
      </c>
      <c r="F315" s="1">
        <v>4447</v>
      </c>
      <c r="G315" s="1">
        <v>183</v>
      </c>
      <c r="H315" s="1">
        <v>297</v>
      </c>
      <c r="I315" t="str">
        <f t="shared" ref="I315:I378" si="16">IF(A315=1,"Horeca",IF(A315=2,"Retail","Check"))</f>
        <v>Horeca</v>
      </c>
      <c r="J315" t="str">
        <f t="shared" si="14"/>
        <v>Oporto</v>
      </c>
      <c r="K315" s="1">
        <f t="shared" si="15"/>
        <v>18041</v>
      </c>
    </row>
    <row r="316" spans="1:11">
      <c r="A316">
        <v>1</v>
      </c>
      <c r="B316">
        <v>2</v>
      </c>
      <c r="C316" s="1">
        <v>10617</v>
      </c>
      <c r="D316" s="1">
        <v>1795</v>
      </c>
      <c r="E316" s="1">
        <v>7647</v>
      </c>
      <c r="F316" s="1">
        <v>1483</v>
      </c>
      <c r="G316" s="1">
        <v>857</v>
      </c>
      <c r="H316" s="1">
        <v>1233</v>
      </c>
      <c r="I316" t="str">
        <f t="shared" si="16"/>
        <v>Horeca</v>
      </c>
      <c r="J316" t="str">
        <f t="shared" si="14"/>
        <v>Oporto</v>
      </c>
      <c r="K316" s="1">
        <f t="shared" si="15"/>
        <v>23632</v>
      </c>
    </row>
    <row r="317" spans="1:11">
      <c r="A317">
        <v>2</v>
      </c>
      <c r="B317">
        <v>2</v>
      </c>
      <c r="C317" s="1">
        <v>1479</v>
      </c>
      <c r="D317" s="1">
        <v>14982</v>
      </c>
      <c r="E317" s="1">
        <v>11924</v>
      </c>
      <c r="F317" s="1">
        <v>662</v>
      </c>
      <c r="G317" s="1">
        <v>3891</v>
      </c>
      <c r="H317" s="1">
        <v>3508</v>
      </c>
      <c r="I317" t="str">
        <f t="shared" si="16"/>
        <v>Retail</v>
      </c>
      <c r="J317" t="str">
        <f t="shared" si="14"/>
        <v>Oporto</v>
      </c>
      <c r="K317" s="1">
        <f t="shared" si="15"/>
        <v>36446</v>
      </c>
    </row>
    <row r="318" spans="1:11">
      <c r="A318">
        <v>1</v>
      </c>
      <c r="B318">
        <v>2</v>
      </c>
      <c r="C318" s="1">
        <v>7127</v>
      </c>
      <c r="D318" s="1">
        <v>1375</v>
      </c>
      <c r="E318" s="1">
        <v>2201</v>
      </c>
      <c r="F318" s="1">
        <v>2679</v>
      </c>
      <c r="G318" s="1">
        <v>83</v>
      </c>
      <c r="H318" s="1">
        <v>1059</v>
      </c>
      <c r="I318" t="str">
        <f t="shared" si="16"/>
        <v>Horeca</v>
      </c>
      <c r="J318" t="str">
        <f t="shared" si="14"/>
        <v>Oporto</v>
      </c>
      <c r="K318" s="1">
        <f t="shared" si="15"/>
        <v>14524</v>
      </c>
    </row>
    <row r="319" spans="1:11">
      <c r="A319">
        <v>1</v>
      </c>
      <c r="B319">
        <v>2</v>
      </c>
      <c r="C319" s="1">
        <v>1182</v>
      </c>
      <c r="D319" s="1">
        <v>3088</v>
      </c>
      <c r="E319" s="1">
        <v>6114</v>
      </c>
      <c r="F319" s="1">
        <v>978</v>
      </c>
      <c r="G319" s="1">
        <v>821</v>
      </c>
      <c r="H319" s="1">
        <v>1637</v>
      </c>
      <c r="I319" t="str">
        <f t="shared" si="16"/>
        <v>Horeca</v>
      </c>
      <c r="J319" t="str">
        <f t="shared" si="14"/>
        <v>Oporto</v>
      </c>
      <c r="K319" s="1">
        <f t="shared" si="15"/>
        <v>13820</v>
      </c>
    </row>
    <row r="320" spans="1:11">
      <c r="A320">
        <v>1</v>
      </c>
      <c r="B320">
        <v>2</v>
      </c>
      <c r="C320" s="1">
        <v>11800</v>
      </c>
      <c r="D320" s="1">
        <v>2713</v>
      </c>
      <c r="E320" s="1">
        <v>3558</v>
      </c>
      <c r="F320" s="1">
        <v>2121</v>
      </c>
      <c r="G320" s="1">
        <v>706</v>
      </c>
      <c r="H320" s="1">
        <v>51</v>
      </c>
      <c r="I320" t="str">
        <f t="shared" si="16"/>
        <v>Horeca</v>
      </c>
      <c r="J320" t="str">
        <f t="shared" si="14"/>
        <v>Oporto</v>
      </c>
      <c r="K320" s="1">
        <f t="shared" si="15"/>
        <v>20949</v>
      </c>
    </row>
    <row r="321" spans="1:11">
      <c r="A321">
        <v>2</v>
      </c>
      <c r="B321">
        <v>2</v>
      </c>
      <c r="C321" s="1">
        <v>9759</v>
      </c>
      <c r="D321" s="1">
        <v>25071</v>
      </c>
      <c r="E321" s="1">
        <v>17645</v>
      </c>
      <c r="F321" s="1">
        <v>1128</v>
      </c>
      <c r="G321" s="1">
        <v>12408</v>
      </c>
      <c r="H321" s="1">
        <v>1625</v>
      </c>
      <c r="I321" t="str">
        <f t="shared" si="16"/>
        <v>Retail</v>
      </c>
      <c r="J321" t="str">
        <f t="shared" si="14"/>
        <v>Oporto</v>
      </c>
      <c r="K321" s="1">
        <f t="shared" si="15"/>
        <v>67636</v>
      </c>
    </row>
    <row r="322" spans="1:11">
      <c r="A322">
        <v>1</v>
      </c>
      <c r="B322">
        <v>2</v>
      </c>
      <c r="C322" s="1">
        <v>1774</v>
      </c>
      <c r="D322" s="1">
        <v>3696</v>
      </c>
      <c r="E322" s="1">
        <v>2280</v>
      </c>
      <c r="F322" s="1">
        <v>514</v>
      </c>
      <c r="G322" s="1">
        <v>275</v>
      </c>
      <c r="H322" s="1">
        <v>834</v>
      </c>
      <c r="I322" t="str">
        <f t="shared" si="16"/>
        <v>Horeca</v>
      </c>
      <c r="J322" t="str">
        <f t="shared" si="14"/>
        <v>Oporto</v>
      </c>
      <c r="K322" s="1">
        <f t="shared" si="15"/>
        <v>9373</v>
      </c>
    </row>
    <row r="323" spans="1:11">
      <c r="A323">
        <v>1</v>
      </c>
      <c r="B323">
        <v>2</v>
      </c>
      <c r="C323" s="1">
        <v>9155</v>
      </c>
      <c r="D323" s="1">
        <v>1897</v>
      </c>
      <c r="E323" s="1">
        <v>5167</v>
      </c>
      <c r="F323" s="1">
        <v>2714</v>
      </c>
      <c r="G323" s="1">
        <v>228</v>
      </c>
      <c r="H323" s="1">
        <v>1113</v>
      </c>
      <c r="I323" t="str">
        <f t="shared" si="16"/>
        <v>Horeca</v>
      </c>
      <c r="J323" t="str">
        <f t="shared" ref="J323:J386" si="17">IF(B323=1,"Lisbon",IF(B323=2,"Oporto",IF(B323=3,"Other","Check")))</f>
        <v>Oporto</v>
      </c>
      <c r="K323" s="1">
        <f t="shared" ref="K323:K386" si="18">SUM(C323:H323)</f>
        <v>20274</v>
      </c>
    </row>
    <row r="324" spans="1:11">
      <c r="A324">
        <v>1</v>
      </c>
      <c r="B324">
        <v>2</v>
      </c>
      <c r="C324" s="1">
        <v>15881</v>
      </c>
      <c r="D324" s="1">
        <v>713</v>
      </c>
      <c r="E324" s="1">
        <v>3315</v>
      </c>
      <c r="F324" s="1">
        <v>3703</v>
      </c>
      <c r="G324" s="1">
        <v>1470</v>
      </c>
      <c r="H324" s="1">
        <v>229</v>
      </c>
      <c r="I324" t="str">
        <f t="shared" si="16"/>
        <v>Horeca</v>
      </c>
      <c r="J324" t="str">
        <f t="shared" si="17"/>
        <v>Oporto</v>
      </c>
      <c r="K324" s="1">
        <f t="shared" si="18"/>
        <v>25311</v>
      </c>
    </row>
    <row r="325" spans="1:11">
      <c r="A325">
        <v>1</v>
      </c>
      <c r="B325">
        <v>2</v>
      </c>
      <c r="C325" s="1">
        <v>13360</v>
      </c>
      <c r="D325" s="1">
        <v>944</v>
      </c>
      <c r="E325" s="1">
        <v>11593</v>
      </c>
      <c r="F325" s="1">
        <v>915</v>
      </c>
      <c r="G325" s="1">
        <v>1679</v>
      </c>
      <c r="H325" s="1">
        <v>573</v>
      </c>
      <c r="I325" t="str">
        <f t="shared" si="16"/>
        <v>Horeca</v>
      </c>
      <c r="J325" t="str">
        <f t="shared" si="17"/>
        <v>Oporto</v>
      </c>
      <c r="K325" s="1">
        <f t="shared" si="18"/>
        <v>29064</v>
      </c>
    </row>
    <row r="326" spans="1:11">
      <c r="A326">
        <v>1</v>
      </c>
      <c r="B326">
        <v>2</v>
      </c>
      <c r="C326" s="1">
        <v>25977</v>
      </c>
      <c r="D326" s="1">
        <v>3587</v>
      </c>
      <c r="E326" s="1">
        <v>2464</v>
      </c>
      <c r="F326" s="1">
        <v>2369</v>
      </c>
      <c r="G326" s="1">
        <v>140</v>
      </c>
      <c r="H326" s="1">
        <v>1092</v>
      </c>
      <c r="I326" t="str">
        <f t="shared" si="16"/>
        <v>Horeca</v>
      </c>
      <c r="J326" t="str">
        <f t="shared" si="17"/>
        <v>Oporto</v>
      </c>
      <c r="K326" s="1">
        <f t="shared" si="18"/>
        <v>35629</v>
      </c>
    </row>
    <row r="327" spans="1:11">
      <c r="A327">
        <v>1</v>
      </c>
      <c r="B327">
        <v>2</v>
      </c>
      <c r="C327" s="1">
        <v>32717</v>
      </c>
      <c r="D327" s="1">
        <v>16784</v>
      </c>
      <c r="E327" s="1">
        <v>13626</v>
      </c>
      <c r="F327" s="1">
        <v>60869</v>
      </c>
      <c r="G327" s="1">
        <v>1272</v>
      </c>
      <c r="H327" s="1">
        <v>5609</v>
      </c>
      <c r="I327" t="str">
        <f t="shared" si="16"/>
        <v>Horeca</v>
      </c>
      <c r="J327" t="str">
        <f t="shared" si="17"/>
        <v>Oporto</v>
      </c>
      <c r="K327" s="1">
        <f t="shared" si="18"/>
        <v>130877</v>
      </c>
    </row>
    <row r="328" spans="1:11">
      <c r="A328">
        <v>1</v>
      </c>
      <c r="B328">
        <v>2</v>
      </c>
      <c r="C328" s="1">
        <v>4414</v>
      </c>
      <c r="D328" s="1">
        <v>1610</v>
      </c>
      <c r="E328" s="1">
        <v>1431</v>
      </c>
      <c r="F328" s="1">
        <v>3498</v>
      </c>
      <c r="G328" s="1">
        <v>387</v>
      </c>
      <c r="H328" s="1">
        <v>834</v>
      </c>
      <c r="I328" t="str">
        <f t="shared" si="16"/>
        <v>Horeca</v>
      </c>
      <c r="J328" t="str">
        <f t="shared" si="17"/>
        <v>Oporto</v>
      </c>
      <c r="K328" s="1">
        <f t="shared" si="18"/>
        <v>12174</v>
      </c>
    </row>
    <row r="329" spans="1:11">
      <c r="A329">
        <v>1</v>
      </c>
      <c r="B329">
        <v>2</v>
      </c>
      <c r="C329" s="1">
        <v>542</v>
      </c>
      <c r="D329" s="1">
        <v>899</v>
      </c>
      <c r="E329" s="1">
        <v>1664</v>
      </c>
      <c r="F329" s="1">
        <v>414</v>
      </c>
      <c r="G329" s="1">
        <v>88</v>
      </c>
      <c r="H329" s="1">
        <v>522</v>
      </c>
      <c r="I329" t="str">
        <f t="shared" si="16"/>
        <v>Horeca</v>
      </c>
      <c r="J329" t="str">
        <f t="shared" si="17"/>
        <v>Oporto</v>
      </c>
      <c r="K329" s="1">
        <f t="shared" si="18"/>
        <v>4129</v>
      </c>
    </row>
    <row r="330" spans="1:11">
      <c r="A330">
        <v>1</v>
      </c>
      <c r="B330">
        <v>2</v>
      </c>
      <c r="C330" s="1">
        <v>16933</v>
      </c>
      <c r="D330" s="1">
        <v>2209</v>
      </c>
      <c r="E330" s="1">
        <v>3389</v>
      </c>
      <c r="F330" s="1">
        <v>7849</v>
      </c>
      <c r="G330" s="1">
        <v>210</v>
      </c>
      <c r="H330" s="1">
        <v>1534</v>
      </c>
      <c r="I330" t="str">
        <f t="shared" si="16"/>
        <v>Horeca</v>
      </c>
      <c r="J330" t="str">
        <f t="shared" si="17"/>
        <v>Oporto</v>
      </c>
      <c r="K330" s="1">
        <f t="shared" si="18"/>
        <v>32124</v>
      </c>
    </row>
    <row r="331" spans="1:11">
      <c r="A331">
        <v>1</v>
      </c>
      <c r="B331">
        <v>2</v>
      </c>
      <c r="C331" s="1">
        <v>5113</v>
      </c>
      <c r="D331" s="1">
        <v>1486</v>
      </c>
      <c r="E331" s="1">
        <v>4583</v>
      </c>
      <c r="F331" s="1">
        <v>5127</v>
      </c>
      <c r="G331" s="1">
        <v>492</v>
      </c>
      <c r="H331" s="1">
        <v>739</v>
      </c>
      <c r="I331" t="str">
        <f t="shared" si="16"/>
        <v>Horeca</v>
      </c>
      <c r="J331" t="str">
        <f t="shared" si="17"/>
        <v>Oporto</v>
      </c>
      <c r="K331" s="1">
        <f t="shared" si="18"/>
        <v>17540</v>
      </c>
    </row>
    <row r="332" spans="1:11">
      <c r="A332">
        <v>1</v>
      </c>
      <c r="B332">
        <v>2</v>
      </c>
      <c r="C332" s="1">
        <v>9790</v>
      </c>
      <c r="D332" s="1">
        <v>1786</v>
      </c>
      <c r="E332" s="1">
        <v>5109</v>
      </c>
      <c r="F332" s="1">
        <v>3570</v>
      </c>
      <c r="G332" s="1">
        <v>182</v>
      </c>
      <c r="H332" s="1">
        <v>1043</v>
      </c>
      <c r="I332" t="str">
        <f t="shared" si="16"/>
        <v>Horeca</v>
      </c>
      <c r="J332" t="str">
        <f t="shared" si="17"/>
        <v>Oporto</v>
      </c>
      <c r="K332" s="1">
        <f t="shared" si="18"/>
        <v>21480</v>
      </c>
    </row>
    <row r="333" spans="1:11">
      <c r="A333">
        <v>2</v>
      </c>
      <c r="B333">
        <v>2</v>
      </c>
      <c r="C333" s="1">
        <v>11223</v>
      </c>
      <c r="D333" s="1">
        <v>14881</v>
      </c>
      <c r="E333" s="1">
        <v>26839</v>
      </c>
      <c r="F333" s="1">
        <v>1234</v>
      </c>
      <c r="G333" s="1">
        <v>9606</v>
      </c>
      <c r="H333" s="1">
        <v>1102</v>
      </c>
      <c r="I333" t="str">
        <f t="shared" si="16"/>
        <v>Retail</v>
      </c>
      <c r="J333" t="str">
        <f t="shared" si="17"/>
        <v>Oporto</v>
      </c>
      <c r="K333" s="1">
        <f t="shared" si="18"/>
        <v>64885</v>
      </c>
    </row>
    <row r="334" spans="1:11">
      <c r="A334">
        <v>1</v>
      </c>
      <c r="B334">
        <v>2</v>
      </c>
      <c r="C334" s="1">
        <v>22321</v>
      </c>
      <c r="D334" s="1">
        <v>3216</v>
      </c>
      <c r="E334" s="1">
        <v>1447</v>
      </c>
      <c r="F334" s="1">
        <v>2208</v>
      </c>
      <c r="G334" s="1">
        <v>178</v>
      </c>
      <c r="H334" s="1">
        <v>2602</v>
      </c>
      <c r="I334" t="str">
        <f t="shared" si="16"/>
        <v>Horeca</v>
      </c>
      <c r="J334" t="str">
        <f t="shared" si="17"/>
        <v>Oporto</v>
      </c>
      <c r="K334" s="1">
        <f t="shared" si="18"/>
        <v>31972</v>
      </c>
    </row>
    <row r="335" spans="1:11">
      <c r="A335">
        <v>2</v>
      </c>
      <c r="B335">
        <v>2</v>
      </c>
      <c r="C335" s="1">
        <v>8565</v>
      </c>
      <c r="D335" s="1">
        <v>4980</v>
      </c>
      <c r="E335" s="1">
        <v>67298</v>
      </c>
      <c r="F335" s="1">
        <v>131</v>
      </c>
      <c r="G335" s="1">
        <v>38102</v>
      </c>
      <c r="H335" s="1">
        <v>1215</v>
      </c>
      <c r="I335" t="str">
        <f t="shared" si="16"/>
        <v>Retail</v>
      </c>
      <c r="J335" t="str">
        <f t="shared" si="17"/>
        <v>Oporto</v>
      </c>
      <c r="K335" s="1">
        <f t="shared" si="18"/>
        <v>120291</v>
      </c>
    </row>
    <row r="336" spans="1:11">
      <c r="A336">
        <v>2</v>
      </c>
      <c r="B336">
        <v>2</v>
      </c>
      <c r="C336" s="1">
        <v>16823</v>
      </c>
      <c r="D336" s="1">
        <v>928</v>
      </c>
      <c r="E336" s="1">
        <v>2743</v>
      </c>
      <c r="F336" s="1">
        <v>11559</v>
      </c>
      <c r="G336" s="1">
        <v>332</v>
      </c>
      <c r="H336" s="1">
        <v>3486</v>
      </c>
      <c r="I336" t="str">
        <f t="shared" si="16"/>
        <v>Retail</v>
      </c>
      <c r="J336" t="str">
        <f t="shared" si="17"/>
        <v>Oporto</v>
      </c>
      <c r="K336" s="1">
        <f t="shared" si="18"/>
        <v>35871</v>
      </c>
    </row>
    <row r="337" spans="1:11">
      <c r="A337">
        <v>2</v>
      </c>
      <c r="B337">
        <v>2</v>
      </c>
      <c r="C337" s="1">
        <v>27082</v>
      </c>
      <c r="D337" s="1">
        <v>6817</v>
      </c>
      <c r="E337" s="1">
        <v>10790</v>
      </c>
      <c r="F337" s="1">
        <v>1365</v>
      </c>
      <c r="G337" s="1">
        <v>4111</v>
      </c>
      <c r="H337" s="1">
        <v>2139</v>
      </c>
      <c r="I337" t="str">
        <f t="shared" si="16"/>
        <v>Retail</v>
      </c>
      <c r="J337" t="str">
        <f t="shared" si="17"/>
        <v>Oporto</v>
      </c>
      <c r="K337" s="1">
        <f t="shared" si="18"/>
        <v>52304</v>
      </c>
    </row>
    <row r="338" spans="1:11">
      <c r="A338">
        <v>1</v>
      </c>
      <c r="B338">
        <v>2</v>
      </c>
      <c r="C338" s="1">
        <v>13970</v>
      </c>
      <c r="D338" s="1">
        <v>1511</v>
      </c>
      <c r="E338" s="1">
        <v>1330</v>
      </c>
      <c r="F338" s="1">
        <v>650</v>
      </c>
      <c r="G338" s="1">
        <v>146</v>
      </c>
      <c r="H338" s="1">
        <v>778</v>
      </c>
      <c r="I338" t="str">
        <f t="shared" si="16"/>
        <v>Horeca</v>
      </c>
      <c r="J338" t="str">
        <f t="shared" si="17"/>
        <v>Oporto</v>
      </c>
      <c r="K338" s="1">
        <f t="shared" si="18"/>
        <v>18385</v>
      </c>
    </row>
    <row r="339" spans="1:11">
      <c r="A339">
        <v>1</v>
      </c>
      <c r="B339">
        <v>2</v>
      </c>
      <c r="C339" s="1">
        <v>9351</v>
      </c>
      <c r="D339" s="1">
        <v>1347</v>
      </c>
      <c r="E339" s="1">
        <v>2611</v>
      </c>
      <c r="F339" s="1">
        <v>8170</v>
      </c>
      <c r="G339" s="1">
        <v>442</v>
      </c>
      <c r="H339" s="1">
        <v>868</v>
      </c>
      <c r="I339" t="str">
        <f t="shared" si="16"/>
        <v>Horeca</v>
      </c>
      <c r="J339" t="str">
        <f t="shared" si="17"/>
        <v>Oporto</v>
      </c>
      <c r="K339" s="1">
        <f t="shared" si="18"/>
        <v>22789</v>
      </c>
    </row>
    <row r="340" spans="1:11">
      <c r="A340">
        <v>1</v>
      </c>
      <c r="B340">
        <v>2</v>
      </c>
      <c r="C340" s="1">
        <v>3</v>
      </c>
      <c r="D340" s="1">
        <v>333</v>
      </c>
      <c r="E340" s="1">
        <v>7021</v>
      </c>
      <c r="F340" s="1">
        <v>15601</v>
      </c>
      <c r="G340" s="1">
        <v>15</v>
      </c>
      <c r="H340" s="1">
        <v>550</v>
      </c>
      <c r="I340" t="str">
        <f t="shared" si="16"/>
        <v>Horeca</v>
      </c>
      <c r="J340" t="str">
        <f t="shared" si="17"/>
        <v>Oporto</v>
      </c>
      <c r="K340" s="1">
        <f t="shared" si="18"/>
        <v>23523</v>
      </c>
    </row>
    <row r="341" spans="1:11">
      <c r="A341">
        <v>1</v>
      </c>
      <c r="B341">
        <v>2</v>
      </c>
      <c r="C341" s="1">
        <v>2617</v>
      </c>
      <c r="D341" s="1">
        <v>1188</v>
      </c>
      <c r="E341" s="1">
        <v>5332</v>
      </c>
      <c r="F341" s="1">
        <v>9584</v>
      </c>
      <c r="G341" s="1">
        <v>573</v>
      </c>
      <c r="H341" s="1">
        <v>1942</v>
      </c>
      <c r="I341" t="str">
        <f t="shared" si="16"/>
        <v>Horeca</v>
      </c>
      <c r="J341" t="str">
        <f t="shared" si="17"/>
        <v>Oporto</v>
      </c>
      <c r="K341" s="1">
        <f t="shared" si="18"/>
        <v>21236</v>
      </c>
    </row>
    <row r="342" spans="1:11">
      <c r="A342">
        <v>2</v>
      </c>
      <c r="B342">
        <v>3</v>
      </c>
      <c r="C342" s="1">
        <v>381</v>
      </c>
      <c r="D342" s="1">
        <v>4025</v>
      </c>
      <c r="E342" s="1">
        <v>9670</v>
      </c>
      <c r="F342" s="1">
        <v>388</v>
      </c>
      <c r="G342" s="1">
        <v>7271</v>
      </c>
      <c r="H342" s="1">
        <v>1371</v>
      </c>
      <c r="I342" t="str">
        <f t="shared" si="16"/>
        <v>Retail</v>
      </c>
      <c r="J342" t="str">
        <f t="shared" si="17"/>
        <v>Other</v>
      </c>
      <c r="K342" s="1">
        <f t="shared" si="18"/>
        <v>23106</v>
      </c>
    </row>
    <row r="343" spans="1:11">
      <c r="A343">
        <v>2</v>
      </c>
      <c r="B343">
        <v>3</v>
      </c>
      <c r="C343" s="1">
        <v>2320</v>
      </c>
      <c r="D343" s="1">
        <v>5763</v>
      </c>
      <c r="E343" s="1">
        <v>11238</v>
      </c>
      <c r="F343" s="1">
        <v>767</v>
      </c>
      <c r="G343" s="1">
        <v>5162</v>
      </c>
      <c r="H343" s="1">
        <v>2158</v>
      </c>
      <c r="I343" t="str">
        <f t="shared" si="16"/>
        <v>Retail</v>
      </c>
      <c r="J343" t="str">
        <f t="shared" si="17"/>
        <v>Other</v>
      </c>
      <c r="K343" s="1">
        <f t="shared" si="18"/>
        <v>27408</v>
      </c>
    </row>
    <row r="344" spans="1:11">
      <c r="A344">
        <v>1</v>
      </c>
      <c r="B344">
        <v>3</v>
      </c>
      <c r="C344" s="1">
        <v>255</v>
      </c>
      <c r="D344" s="1">
        <v>5758</v>
      </c>
      <c r="E344" s="1">
        <v>5923</v>
      </c>
      <c r="F344" s="1">
        <v>349</v>
      </c>
      <c r="G344" s="1">
        <v>4595</v>
      </c>
      <c r="H344" s="1">
        <v>1328</v>
      </c>
      <c r="I344" t="str">
        <f t="shared" si="16"/>
        <v>Horeca</v>
      </c>
      <c r="J344" t="str">
        <f t="shared" si="17"/>
        <v>Other</v>
      </c>
      <c r="K344" s="1">
        <f t="shared" si="18"/>
        <v>18208</v>
      </c>
    </row>
    <row r="345" spans="1:11">
      <c r="A345">
        <v>2</v>
      </c>
      <c r="B345">
        <v>3</v>
      </c>
      <c r="C345" s="1">
        <v>1689</v>
      </c>
      <c r="D345" s="1">
        <v>6964</v>
      </c>
      <c r="E345" s="1">
        <v>26316</v>
      </c>
      <c r="F345" s="1">
        <v>1456</v>
      </c>
      <c r="G345" s="1">
        <v>15469</v>
      </c>
      <c r="H345" s="1">
        <v>37</v>
      </c>
      <c r="I345" t="str">
        <f t="shared" si="16"/>
        <v>Retail</v>
      </c>
      <c r="J345" t="str">
        <f t="shared" si="17"/>
        <v>Other</v>
      </c>
      <c r="K345" s="1">
        <f t="shared" si="18"/>
        <v>51931</v>
      </c>
    </row>
    <row r="346" spans="1:11">
      <c r="A346">
        <v>1</v>
      </c>
      <c r="B346">
        <v>3</v>
      </c>
      <c r="C346" s="1">
        <v>3043</v>
      </c>
      <c r="D346" s="1">
        <v>1172</v>
      </c>
      <c r="E346" s="1">
        <v>1763</v>
      </c>
      <c r="F346" s="1">
        <v>2234</v>
      </c>
      <c r="G346" s="1">
        <v>217</v>
      </c>
      <c r="H346" s="1">
        <v>379</v>
      </c>
      <c r="I346" t="str">
        <f t="shared" si="16"/>
        <v>Horeca</v>
      </c>
      <c r="J346" t="str">
        <f t="shared" si="17"/>
        <v>Other</v>
      </c>
      <c r="K346" s="1">
        <f t="shared" si="18"/>
        <v>8808</v>
      </c>
    </row>
    <row r="347" spans="1:11">
      <c r="A347">
        <v>1</v>
      </c>
      <c r="B347">
        <v>3</v>
      </c>
      <c r="C347" s="1">
        <v>1198</v>
      </c>
      <c r="D347" s="1">
        <v>2602</v>
      </c>
      <c r="E347" s="1">
        <v>8335</v>
      </c>
      <c r="F347" s="1">
        <v>402</v>
      </c>
      <c r="G347" s="1">
        <v>3843</v>
      </c>
      <c r="H347" s="1">
        <v>303</v>
      </c>
      <c r="I347" t="str">
        <f t="shared" si="16"/>
        <v>Horeca</v>
      </c>
      <c r="J347" t="str">
        <f t="shared" si="17"/>
        <v>Other</v>
      </c>
      <c r="K347" s="1">
        <f t="shared" si="18"/>
        <v>16683</v>
      </c>
    </row>
    <row r="348" spans="1:11">
      <c r="A348">
        <v>2</v>
      </c>
      <c r="B348">
        <v>3</v>
      </c>
      <c r="C348" s="1">
        <v>2771</v>
      </c>
      <c r="D348" s="1">
        <v>6939</v>
      </c>
      <c r="E348" s="1">
        <v>15541</v>
      </c>
      <c r="F348" s="1">
        <v>2693</v>
      </c>
      <c r="G348" s="1">
        <v>6600</v>
      </c>
      <c r="H348" s="1">
        <v>1115</v>
      </c>
      <c r="I348" t="str">
        <f t="shared" si="16"/>
        <v>Retail</v>
      </c>
      <c r="J348" t="str">
        <f t="shared" si="17"/>
        <v>Other</v>
      </c>
      <c r="K348" s="1">
        <f t="shared" si="18"/>
        <v>35659</v>
      </c>
    </row>
    <row r="349" spans="1:11">
      <c r="A349">
        <v>2</v>
      </c>
      <c r="B349">
        <v>3</v>
      </c>
      <c r="C349" s="1">
        <v>27380</v>
      </c>
      <c r="D349" s="1">
        <v>7184</v>
      </c>
      <c r="E349" s="1">
        <v>12311</v>
      </c>
      <c r="F349" s="1">
        <v>2809</v>
      </c>
      <c r="G349" s="1">
        <v>4621</v>
      </c>
      <c r="H349" s="1">
        <v>1022</v>
      </c>
      <c r="I349" t="str">
        <f t="shared" si="16"/>
        <v>Retail</v>
      </c>
      <c r="J349" t="str">
        <f t="shared" si="17"/>
        <v>Other</v>
      </c>
      <c r="K349" s="1">
        <f t="shared" si="18"/>
        <v>55327</v>
      </c>
    </row>
    <row r="350" spans="1:11">
      <c r="A350">
        <v>1</v>
      </c>
      <c r="B350">
        <v>3</v>
      </c>
      <c r="C350" s="1">
        <v>3428</v>
      </c>
      <c r="D350" s="1">
        <v>2380</v>
      </c>
      <c r="E350" s="1">
        <v>2028</v>
      </c>
      <c r="F350" s="1">
        <v>1341</v>
      </c>
      <c r="G350" s="1">
        <v>1184</v>
      </c>
      <c r="H350" s="1">
        <v>665</v>
      </c>
      <c r="I350" t="str">
        <f t="shared" si="16"/>
        <v>Horeca</v>
      </c>
      <c r="J350" t="str">
        <f t="shared" si="17"/>
        <v>Other</v>
      </c>
      <c r="K350" s="1">
        <f t="shared" si="18"/>
        <v>11026</v>
      </c>
    </row>
    <row r="351" spans="1:11">
      <c r="A351">
        <v>2</v>
      </c>
      <c r="B351">
        <v>3</v>
      </c>
      <c r="C351" s="1">
        <v>5981</v>
      </c>
      <c r="D351" s="1">
        <v>14641</v>
      </c>
      <c r="E351" s="1">
        <v>20521</v>
      </c>
      <c r="F351" s="1">
        <v>2005</v>
      </c>
      <c r="G351" s="1">
        <v>12218</v>
      </c>
      <c r="H351" s="1">
        <v>445</v>
      </c>
      <c r="I351" t="str">
        <f t="shared" si="16"/>
        <v>Retail</v>
      </c>
      <c r="J351" t="str">
        <f t="shared" si="17"/>
        <v>Other</v>
      </c>
      <c r="K351" s="1">
        <f t="shared" si="18"/>
        <v>55811</v>
      </c>
    </row>
    <row r="352" spans="1:11">
      <c r="A352">
        <v>1</v>
      </c>
      <c r="B352">
        <v>3</v>
      </c>
      <c r="C352" s="1">
        <v>3521</v>
      </c>
      <c r="D352" s="1">
        <v>1099</v>
      </c>
      <c r="E352" s="1">
        <v>1997</v>
      </c>
      <c r="F352" s="1">
        <v>1796</v>
      </c>
      <c r="G352" s="1">
        <v>173</v>
      </c>
      <c r="H352" s="1">
        <v>995</v>
      </c>
      <c r="I352" t="str">
        <f t="shared" si="16"/>
        <v>Horeca</v>
      </c>
      <c r="J352" t="str">
        <f t="shared" si="17"/>
        <v>Other</v>
      </c>
      <c r="K352" s="1">
        <f t="shared" si="18"/>
        <v>9581</v>
      </c>
    </row>
    <row r="353" spans="1:11">
      <c r="A353">
        <v>2</v>
      </c>
      <c r="B353">
        <v>3</v>
      </c>
      <c r="C353" s="1">
        <v>1210</v>
      </c>
      <c r="D353" s="1">
        <v>10044</v>
      </c>
      <c r="E353" s="1">
        <v>22294</v>
      </c>
      <c r="F353" s="1">
        <v>1741</v>
      </c>
      <c r="G353" s="1">
        <v>12638</v>
      </c>
      <c r="H353" s="1">
        <v>3137</v>
      </c>
      <c r="I353" t="str">
        <f t="shared" si="16"/>
        <v>Retail</v>
      </c>
      <c r="J353" t="str">
        <f t="shared" si="17"/>
        <v>Other</v>
      </c>
      <c r="K353" s="1">
        <f t="shared" si="18"/>
        <v>51064</v>
      </c>
    </row>
    <row r="354" spans="1:11">
      <c r="A354">
        <v>1</v>
      </c>
      <c r="B354">
        <v>3</v>
      </c>
      <c r="C354" s="1">
        <v>608</v>
      </c>
      <c r="D354" s="1">
        <v>1106</v>
      </c>
      <c r="E354" s="1">
        <v>1533</v>
      </c>
      <c r="F354" s="1">
        <v>830</v>
      </c>
      <c r="G354" s="1">
        <v>90</v>
      </c>
      <c r="H354" s="1">
        <v>195</v>
      </c>
      <c r="I354" t="str">
        <f t="shared" si="16"/>
        <v>Horeca</v>
      </c>
      <c r="J354" t="str">
        <f t="shared" si="17"/>
        <v>Other</v>
      </c>
      <c r="K354" s="1">
        <f t="shared" si="18"/>
        <v>4362</v>
      </c>
    </row>
    <row r="355" spans="1:11">
      <c r="A355">
        <v>2</v>
      </c>
      <c r="B355">
        <v>3</v>
      </c>
      <c r="C355" s="1">
        <v>117</v>
      </c>
      <c r="D355" s="1">
        <v>6264</v>
      </c>
      <c r="E355" s="1">
        <v>21203</v>
      </c>
      <c r="F355" s="1">
        <v>228</v>
      </c>
      <c r="G355" s="1">
        <v>8682</v>
      </c>
      <c r="H355" s="1">
        <v>1111</v>
      </c>
      <c r="I355" t="str">
        <f t="shared" si="16"/>
        <v>Retail</v>
      </c>
      <c r="J355" t="str">
        <f t="shared" si="17"/>
        <v>Other</v>
      </c>
      <c r="K355" s="1">
        <f t="shared" si="18"/>
        <v>37605</v>
      </c>
    </row>
    <row r="356" spans="1:11">
      <c r="A356">
        <v>1</v>
      </c>
      <c r="B356">
        <v>3</v>
      </c>
      <c r="C356" s="1">
        <v>14039</v>
      </c>
      <c r="D356" s="1">
        <v>7393</v>
      </c>
      <c r="E356" s="1">
        <v>2548</v>
      </c>
      <c r="F356" s="1">
        <v>6386</v>
      </c>
      <c r="G356" s="1">
        <v>1333</v>
      </c>
      <c r="H356" s="1">
        <v>2341</v>
      </c>
      <c r="I356" t="str">
        <f t="shared" si="16"/>
        <v>Horeca</v>
      </c>
      <c r="J356" t="str">
        <f t="shared" si="17"/>
        <v>Other</v>
      </c>
      <c r="K356" s="1">
        <f t="shared" si="18"/>
        <v>34040</v>
      </c>
    </row>
    <row r="357" spans="1:11">
      <c r="A357">
        <v>1</v>
      </c>
      <c r="B357">
        <v>3</v>
      </c>
      <c r="C357" s="1">
        <v>190</v>
      </c>
      <c r="D357" s="1">
        <v>727</v>
      </c>
      <c r="E357" s="1">
        <v>2012</v>
      </c>
      <c r="F357" s="1">
        <v>245</v>
      </c>
      <c r="G357" s="1">
        <v>184</v>
      </c>
      <c r="H357" s="1">
        <v>127</v>
      </c>
      <c r="I357" t="str">
        <f t="shared" si="16"/>
        <v>Horeca</v>
      </c>
      <c r="J357" t="str">
        <f t="shared" si="17"/>
        <v>Other</v>
      </c>
      <c r="K357" s="1">
        <f t="shared" si="18"/>
        <v>3485</v>
      </c>
    </row>
    <row r="358" spans="1:11">
      <c r="A358">
        <v>1</v>
      </c>
      <c r="B358">
        <v>3</v>
      </c>
      <c r="C358" s="1">
        <v>22686</v>
      </c>
      <c r="D358" s="1">
        <v>134</v>
      </c>
      <c r="E358" s="1">
        <v>218</v>
      </c>
      <c r="F358" s="1">
        <v>3157</v>
      </c>
      <c r="G358" s="1">
        <v>9</v>
      </c>
      <c r="H358" s="1">
        <v>548</v>
      </c>
      <c r="I358" t="str">
        <f t="shared" si="16"/>
        <v>Horeca</v>
      </c>
      <c r="J358" t="str">
        <f t="shared" si="17"/>
        <v>Other</v>
      </c>
      <c r="K358" s="1">
        <f t="shared" si="18"/>
        <v>26752</v>
      </c>
    </row>
    <row r="359" spans="1:11">
      <c r="A359">
        <v>2</v>
      </c>
      <c r="B359">
        <v>3</v>
      </c>
      <c r="C359" s="1">
        <v>37</v>
      </c>
      <c r="D359" s="1">
        <v>1275</v>
      </c>
      <c r="E359" s="1">
        <v>22272</v>
      </c>
      <c r="F359" s="1">
        <v>137</v>
      </c>
      <c r="G359" s="1">
        <v>6747</v>
      </c>
      <c r="H359" s="1">
        <v>110</v>
      </c>
      <c r="I359" t="str">
        <f t="shared" si="16"/>
        <v>Retail</v>
      </c>
      <c r="J359" t="str">
        <f t="shared" si="17"/>
        <v>Other</v>
      </c>
      <c r="K359" s="1">
        <f t="shared" si="18"/>
        <v>30578</v>
      </c>
    </row>
    <row r="360" spans="1:11">
      <c r="A360">
        <v>1</v>
      </c>
      <c r="B360">
        <v>3</v>
      </c>
      <c r="C360" s="1">
        <v>759</v>
      </c>
      <c r="D360" s="1">
        <v>18664</v>
      </c>
      <c r="E360" s="1">
        <v>1660</v>
      </c>
      <c r="F360" s="1">
        <v>6114</v>
      </c>
      <c r="G360" s="1">
        <v>536</v>
      </c>
      <c r="H360" s="1">
        <v>4100</v>
      </c>
      <c r="I360" t="str">
        <f t="shared" si="16"/>
        <v>Horeca</v>
      </c>
      <c r="J360" t="str">
        <f t="shared" si="17"/>
        <v>Other</v>
      </c>
      <c r="K360" s="1">
        <f t="shared" si="18"/>
        <v>31833</v>
      </c>
    </row>
    <row r="361" spans="1:11">
      <c r="A361">
        <v>1</v>
      </c>
      <c r="B361">
        <v>3</v>
      </c>
      <c r="C361" s="1">
        <v>796</v>
      </c>
      <c r="D361" s="1">
        <v>5878</v>
      </c>
      <c r="E361" s="1">
        <v>2109</v>
      </c>
      <c r="F361" s="1">
        <v>340</v>
      </c>
      <c r="G361" s="1">
        <v>232</v>
      </c>
      <c r="H361" s="1">
        <v>776</v>
      </c>
      <c r="I361" t="str">
        <f t="shared" si="16"/>
        <v>Horeca</v>
      </c>
      <c r="J361" t="str">
        <f t="shared" si="17"/>
        <v>Other</v>
      </c>
      <c r="K361" s="1">
        <f t="shared" si="18"/>
        <v>10131</v>
      </c>
    </row>
    <row r="362" spans="1:11">
      <c r="A362">
        <v>1</v>
      </c>
      <c r="B362">
        <v>3</v>
      </c>
      <c r="C362" s="1">
        <v>19746</v>
      </c>
      <c r="D362" s="1">
        <v>2872</v>
      </c>
      <c r="E362" s="1">
        <v>2006</v>
      </c>
      <c r="F362" s="1">
        <v>2601</v>
      </c>
      <c r="G362" s="1">
        <v>468</v>
      </c>
      <c r="H362" s="1">
        <v>503</v>
      </c>
      <c r="I362" t="str">
        <f t="shared" si="16"/>
        <v>Horeca</v>
      </c>
      <c r="J362" t="str">
        <f t="shared" si="17"/>
        <v>Other</v>
      </c>
      <c r="K362" s="1">
        <f t="shared" si="18"/>
        <v>28196</v>
      </c>
    </row>
    <row r="363" spans="1:11">
      <c r="A363">
        <v>1</v>
      </c>
      <c r="B363">
        <v>3</v>
      </c>
      <c r="C363" s="1">
        <v>4734</v>
      </c>
      <c r="D363" s="1">
        <v>607</v>
      </c>
      <c r="E363" s="1">
        <v>864</v>
      </c>
      <c r="F363" s="1">
        <v>1206</v>
      </c>
      <c r="G363" s="1">
        <v>159</v>
      </c>
      <c r="H363" s="1">
        <v>405</v>
      </c>
      <c r="I363" t="str">
        <f t="shared" si="16"/>
        <v>Horeca</v>
      </c>
      <c r="J363" t="str">
        <f t="shared" si="17"/>
        <v>Other</v>
      </c>
      <c r="K363" s="1">
        <f t="shared" si="18"/>
        <v>7975</v>
      </c>
    </row>
    <row r="364" spans="1:11">
      <c r="A364">
        <v>1</v>
      </c>
      <c r="B364">
        <v>3</v>
      </c>
      <c r="C364" s="1">
        <v>2121</v>
      </c>
      <c r="D364" s="1">
        <v>1601</v>
      </c>
      <c r="E364" s="1">
        <v>2453</v>
      </c>
      <c r="F364" s="1">
        <v>560</v>
      </c>
      <c r="G364" s="1">
        <v>179</v>
      </c>
      <c r="H364" s="1">
        <v>712</v>
      </c>
      <c r="I364" t="str">
        <f t="shared" si="16"/>
        <v>Horeca</v>
      </c>
      <c r="J364" t="str">
        <f t="shared" si="17"/>
        <v>Other</v>
      </c>
      <c r="K364" s="1">
        <f t="shared" si="18"/>
        <v>7626</v>
      </c>
    </row>
    <row r="365" spans="1:11">
      <c r="A365">
        <v>1</v>
      </c>
      <c r="B365">
        <v>3</v>
      </c>
      <c r="C365" s="1">
        <v>4627</v>
      </c>
      <c r="D365" s="1">
        <v>997</v>
      </c>
      <c r="E365" s="1">
        <v>4438</v>
      </c>
      <c r="F365" s="1">
        <v>191</v>
      </c>
      <c r="G365" s="1">
        <v>1335</v>
      </c>
      <c r="H365" s="1">
        <v>314</v>
      </c>
      <c r="I365" t="str">
        <f t="shared" si="16"/>
        <v>Horeca</v>
      </c>
      <c r="J365" t="str">
        <f t="shared" si="17"/>
        <v>Other</v>
      </c>
      <c r="K365" s="1">
        <f t="shared" si="18"/>
        <v>11902</v>
      </c>
    </row>
    <row r="366" spans="1:11">
      <c r="A366">
        <v>1</v>
      </c>
      <c r="B366">
        <v>3</v>
      </c>
      <c r="C366" s="1">
        <v>2615</v>
      </c>
      <c r="D366" s="1">
        <v>873</v>
      </c>
      <c r="E366" s="1">
        <v>1524</v>
      </c>
      <c r="F366" s="1">
        <v>1103</v>
      </c>
      <c r="G366" s="1">
        <v>514</v>
      </c>
      <c r="H366" s="1">
        <v>468</v>
      </c>
      <c r="I366" t="str">
        <f t="shared" si="16"/>
        <v>Horeca</v>
      </c>
      <c r="J366" t="str">
        <f t="shared" si="17"/>
        <v>Other</v>
      </c>
      <c r="K366" s="1">
        <f t="shared" si="18"/>
        <v>7097</v>
      </c>
    </row>
    <row r="367" spans="1:11">
      <c r="A367">
        <v>2</v>
      </c>
      <c r="B367">
        <v>3</v>
      </c>
      <c r="C367" s="1">
        <v>4692</v>
      </c>
      <c r="D367" s="1">
        <v>6128</v>
      </c>
      <c r="E367" s="1">
        <v>8025</v>
      </c>
      <c r="F367" s="1">
        <v>1619</v>
      </c>
      <c r="G367" s="1">
        <v>4515</v>
      </c>
      <c r="H367" s="1">
        <v>3105</v>
      </c>
      <c r="I367" t="str">
        <f t="shared" si="16"/>
        <v>Retail</v>
      </c>
      <c r="J367" t="str">
        <f t="shared" si="17"/>
        <v>Other</v>
      </c>
      <c r="K367" s="1">
        <f t="shared" si="18"/>
        <v>28084</v>
      </c>
    </row>
    <row r="368" spans="1:11">
      <c r="A368">
        <v>1</v>
      </c>
      <c r="B368">
        <v>3</v>
      </c>
      <c r="C368" s="1">
        <v>9561</v>
      </c>
      <c r="D368" s="1">
        <v>2217</v>
      </c>
      <c r="E368" s="1">
        <v>1664</v>
      </c>
      <c r="F368" s="1">
        <v>1173</v>
      </c>
      <c r="G368" s="1">
        <v>222</v>
      </c>
      <c r="H368" s="1">
        <v>447</v>
      </c>
      <c r="I368" t="str">
        <f t="shared" si="16"/>
        <v>Horeca</v>
      </c>
      <c r="J368" t="str">
        <f t="shared" si="17"/>
        <v>Other</v>
      </c>
      <c r="K368" s="1">
        <f t="shared" si="18"/>
        <v>15284</v>
      </c>
    </row>
    <row r="369" spans="1:11">
      <c r="A369">
        <v>1</v>
      </c>
      <c r="B369">
        <v>3</v>
      </c>
      <c r="C369" s="1">
        <v>3477</v>
      </c>
      <c r="D369" s="1">
        <v>894</v>
      </c>
      <c r="E369" s="1">
        <v>534</v>
      </c>
      <c r="F369" s="1">
        <v>1457</v>
      </c>
      <c r="G369" s="1">
        <v>252</v>
      </c>
      <c r="H369" s="1">
        <v>342</v>
      </c>
      <c r="I369" t="str">
        <f t="shared" si="16"/>
        <v>Horeca</v>
      </c>
      <c r="J369" t="str">
        <f t="shared" si="17"/>
        <v>Other</v>
      </c>
      <c r="K369" s="1">
        <f t="shared" si="18"/>
        <v>6956</v>
      </c>
    </row>
    <row r="370" spans="1:11">
      <c r="A370">
        <v>1</v>
      </c>
      <c r="B370">
        <v>3</v>
      </c>
      <c r="C370" s="1">
        <v>22335</v>
      </c>
      <c r="D370" s="1">
        <v>1196</v>
      </c>
      <c r="E370" s="1">
        <v>2406</v>
      </c>
      <c r="F370" s="1">
        <v>2046</v>
      </c>
      <c r="G370" s="1">
        <v>101</v>
      </c>
      <c r="H370" s="1">
        <v>558</v>
      </c>
      <c r="I370" t="str">
        <f t="shared" si="16"/>
        <v>Horeca</v>
      </c>
      <c r="J370" t="str">
        <f t="shared" si="17"/>
        <v>Other</v>
      </c>
      <c r="K370" s="1">
        <f t="shared" si="18"/>
        <v>28642</v>
      </c>
    </row>
    <row r="371" spans="1:11">
      <c r="A371">
        <v>1</v>
      </c>
      <c r="B371">
        <v>3</v>
      </c>
      <c r="C371" s="1">
        <v>6211</v>
      </c>
      <c r="D371" s="1">
        <v>337</v>
      </c>
      <c r="E371" s="1">
        <v>683</v>
      </c>
      <c r="F371" s="1">
        <v>1089</v>
      </c>
      <c r="G371" s="1">
        <v>41</v>
      </c>
      <c r="H371" s="1">
        <v>296</v>
      </c>
      <c r="I371" t="str">
        <f t="shared" si="16"/>
        <v>Horeca</v>
      </c>
      <c r="J371" t="str">
        <f t="shared" si="17"/>
        <v>Other</v>
      </c>
      <c r="K371" s="1">
        <f t="shared" si="18"/>
        <v>8657</v>
      </c>
    </row>
    <row r="372" spans="1:11">
      <c r="A372">
        <v>2</v>
      </c>
      <c r="B372">
        <v>3</v>
      </c>
      <c r="C372" s="1">
        <v>39679</v>
      </c>
      <c r="D372" s="1">
        <v>3944</v>
      </c>
      <c r="E372" s="1">
        <v>4955</v>
      </c>
      <c r="F372" s="1">
        <v>1364</v>
      </c>
      <c r="G372" s="1">
        <v>523</v>
      </c>
      <c r="H372" s="1">
        <v>2235</v>
      </c>
      <c r="I372" t="str">
        <f t="shared" si="16"/>
        <v>Retail</v>
      </c>
      <c r="J372" t="str">
        <f t="shared" si="17"/>
        <v>Other</v>
      </c>
      <c r="K372" s="1">
        <f t="shared" si="18"/>
        <v>52700</v>
      </c>
    </row>
    <row r="373" spans="1:11">
      <c r="A373">
        <v>1</v>
      </c>
      <c r="B373">
        <v>3</v>
      </c>
      <c r="C373" s="1">
        <v>20105</v>
      </c>
      <c r="D373" s="1">
        <v>1887</v>
      </c>
      <c r="E373" s="1">
        <v>1939</v>
      </c>
      <c r="F373" s="1">
        <v>8164</v>
      </c>
      <c r="G373" s="1">
        <v>716</v>
      </c>
      <c r="H373" s="1">
        <v>790</v>
      </c>
      <c r="I373" t="str">
        <f t="shared" si="16"/>
        <v>Horeca</v>
      </c>
      <c r="J373" t="str">
        <f t="shared" si="17"/>
        <v>Other</v>
      </c>
      <c r="K373" s="1">
        <f t="shared" si="18"/>
        <v>33601</v>
      </c>
    </row>
    <row r="374" spans="1:11">
      <c r="A374">
        <v>1</v>
      </c>
      <c r="B374">
        <v>3</v>
      </c>
      <c r="C374" s="1">
        <v>3884</v>
      </c>
      <c r="D374" s="1">
        <v>3801</v>
      </c>
      <c r="E374" s="1">
        <v>1641</v>
      </c>
      <c r="F374" s="1">
        <v>876</v>
      </c>
      <c r="G374" s="1">
        <v>397</v>
      </c>
      <c r="H374" s="1">
        <v>4829</v>
      </c>
      <c r="I374" t="str">
        <f t="shared" si="16"/>
        <v>Horeca</v>
      </c>
      <c r="J374" t="str">
        <f t="shared" si="17"/>
        <v>Other</v>
      </c>
      <c r="K374" s="1">
        <f t="shared" si="18"/>
        <v>15428</v>
      </c>
    </row>
    <row r="375" spans="1:11">
      <c r="A375">
        <v>2</v>
      </c>
      <c r="B375">
        <v>3</v>
      </c>
      <c r="C375" s="1">
        <v>15076</v>
      </c>
      <c r="D375" s="1">
        <v>6257</v>
      </c>
      <c r="E375" s="1">
        <v>7398</v>
      </c>
      <c r="F375" s="1">
        <v>1504</v>
      </c>
      <c r="G375" s="1">
        <v>1916</v>
      </c>
      <c r="H375" s="1">
        <v>3113</v>
      </c>
      <c r="I375" t="str">
        <f t="shared" si="16"/>
        <v>Retail</v>
      </c>
      <c r="J375" t="str">
        <f t="shared" si="17"/>
        <v>Other</v>
      </c>
      <c r="K375" s="1">
        <f t="shared" si="18"/>
        <v>35264</v>
      </c>
    </row>
    <row r="376" spans="1:11">
      <c r="A376">
        <v>1</v>
      </c>
      <c r="B376">
        <v>3</v>
      </c>
      <c r="C376" s="1">
        <v>6338</v>
      </c>
      <c r="D376" s="1">
        <v>2256</v>
      </c>
      <c r="E376" s="1">
        <v>1668</v>
      </c>
      <c r="F376" s="1">
        <v>1492</v>
      </c>
      <c r="G376" s="1">
        <v>311</v>
      </c>
      <c r="H376" s="1">
        <v>686</v>
      </c>
      <c r="I376" t="str">
        <f t="shared" si="16"/>
        <v>Horeca</v>
      </c>
      <c r="J376" t="str">
        <f t="shared" si="17"/>
        <v>Other</v>
      </c>
      <c r="K376" s="1">
        <f t="shared" si="18"/>
        <v>12751</v>
      </c>
    </row>
    <row r="377" spans="1:11">
      <c r="A377">
        <v>1</v>
      </c>
      <c r="B377">
        <v>3</v>
      </c>
      <c r="C377" s="1">
        <v>5841</v>
      </c>
      <c r="D377" s="1">
        <v>1450</v>
      </c>
      <c r="E377" s="1">
        <v>1162</v>
      </c>
      <c r="F377" s="1">
        <v>597</v>
      </c>
      <c r="G377" s="1">
        <v>476</v>
      </c>
      <c r="H377" s="1">
        <v>70</v>
      </c>
      <c r="I377" t="str">
        <f t="shared" si="16"/>
        <v>Horeca</v>
      </c>
      <c r="J377" t="str">
        <f t="shared" si="17"/>
        <v>Other</v>
      </c>
      <c r="K377" s="1">
        <f t="shared" si="18"/>
        <v>9596</v>
      </c>
    </row>
    <row r="378" spans="1:11">
      <c r="A378">
        <v>2</v>
      </c>
      <c r="B378">
        <v>3</v>
      </c>
      <c r="C378" s="1">
        <v>3136</v>
      </c>
      <c r="D378" s="1">
        <v>8630</v>
      </c>
      <c r="E378" s="1">
        <v>13586</v>
      </c>
      <c r="F378" s="1">
        <v>5641</v>
      </c>
      <c r="G378" s="1">
        <v>4666</v>
      </c>
      <c r="H378" s="1">
        <v>1426</v>
      </c>
      <c r="I378" t="str">
        <f t="shared" si="16"/>
        <v>Retail</v>
      </c>
      <c r="J378" t="str">
        <f t="shared" si="17"/>
        <v>Other</v>
      </c>
      <c r="K378" s="1">
        <f t="shared" si="18"/>
        <v>37085</v>
      </c>
    </row>
    <row r="379" spans="1:11">
      <c r="A379">
        <v>1</v>
      </c>
      <c r="B379">
        <v>3</v>
      </c>
      <c r="C379" s="1">
        <v>38793</v>
      </c>
      <c r="D379" s="1">
        <v>3154</v>
      </c>
      <c r="E379" s="1">
        <v>2648</v>
      </c>
      <c r="F379" s="1">
        <v>1034</v>
      </c>
      <c r="G379" s="1">
        <v>96</v>
      </c>
      <c r="H379" s="1">
        <v>1242</v>
      </c>
      <c r="I379" t="str">
        <f t="shared" ref="I379:I394" si="19">IF(A379=1,"Horeca",IF(A379=2,"Retail","Check"))</f>
        <v>Horeca</v>
      </c>
      <c r="J379" t="str">
        <f t="shared" si="17"/>
        <v>Other</v>
      </c>
      <c r="K379" s="1">
        <f t="shared" si="18"/>
        <v>46967</v>
      </c>
    </row>
    <row r="380" spans="1:11">
      <c r="A380">
        <v>1</v>
      </c>
      <c r="B380">
        <v>3</v>
      </c>
      <c r="C380" s="1">
        <v>3225</v>
      </c>
      <c r="D380" s="1">
        <v>3294</v>
      </c>
      <c r="E380" s="1">
        <v>1902</v>
      </c>
      <c r="F380" s="1">
        <v>282</v>
      </c>
      <c r="G380" s="1">
        <v>68</v>
      </c>
      <c r="H380" s="1">
        <v>1114</v>
      </c>
      <c r="I380" t="str">
        <f t="shared" si="19"/>
        <v>Horeca</v>
      </c>
      <c r="J380" t="str">
        <f t="shared" si="17"/>
        <v>Other</v>
      </c>
      <c r="K380" s="1">
        <f t="shared" si="18"/>
        <v>9885</v>
      </c>
    </row>
    <row r="381" spans="1:11">
      <c r="A381">
        <v>2</v>
      </c>
      <c r="B381">
        <v>3</v>
      </c>
      <c r="C381" s="1">
        <v>4048</v>
      </c>
      <c r="D381" s="1">
        <v>5164</v>
      </c>
      <c r="E381" s="1">
        <v>10391</v>
      </c>
      <c r="F381" s="1">
        <v>130</v>
      </c>
      <c r="G381" s="1">
        <v>813</v>
      </c>
      <c r="H381" s="1">
        <v>179</v>
      </c>
      <c r="I381" t="str">
        <f t="shared" si="19"/>
        <v>Retail</v>
      </c>
      <c r="J381" t="str">
        <f t="shared" si="17"/>
        <v>Other</v>
      </c>
      <c r="K381" s="1">
        <f t="shared" si="18"/>
        <v>20725</v>
      </c>
    </row>
    <row r="382" spans="1:11">
      <c r="A382">
        <v>1</v>
      </c>
      <c r="B382">
        <v>3</v>
      </c>
      <c r="C382" s="1">
        <v>28257</v>
      </c>
      <c r="D382" s="1">
        <v>944</v>
      </c>
      <c r="E382" s="1">
        <v>2146</v>
      </c>
      <c r="F382" s="1">
        <v>3881</v>
      </c>
      <c r="G382" s="1">
        <v>600</v>
      </c>
      <c r="H382" s="1">
        <v>270</v>
      </c>
      <c r="I382" t="str">
        <f t="shared" si="19"/>
        <v>Horeca</v>
      </c>
      <c r="J382" t="str">
        <f t="shared" si="17"/>
        <v>Other</v>
      </c>
      <c r="K382" s="1">
        <f t="shared" si="18"/>
        <v>36098</v>
      </c>
    </row>
    <row r="383" spans="1:11">
      <c r="A383">
        <v>1</v>
      </c>
      <c r="B383">
        <v>3</v>
      </c>
      <c r="C383" s="1">
        <v>17770</v>
      </c>
      <c r="D383" s="1">
        <v>4591</v>
      </c>
      <c r="E383" s="1">
        <v>1617</v>
      </c>
      <c r="F383" s="1">
        <v>9927</v>
      </c>
      <c r="G383" s="1">
        <v>246</v>
      </c>
      <c r="H383" s="1">
        <v>532</v>
      </c>
      <c r="I383" t="str">
        <f t="shared" si="19"/>
        <v>Horeca</v>
      </c>
      <c r="J383" t="str">
        <f t="shared" si="17"/>
        <v>Other</v>
      </c>
      <c r="K383" s="1">
        <f t="shared" si="18"/>
        <v>34683</v>
      </c>
    </row>
    <row r="384" spans="1:11">
      <c r="A384">
        <v>1</v>
      </c>
      <c r="B384">
        <v>3</v>
      </c>
      <c r="C384" s="1">
        <v>34454</v>
      </c>
      <c r="D384" s="1">
        <v>7435</v>
      </c>
      <c r="E384" s="1">
        <v>8469</v>
      </c>
      <c r="F384" s="1">
        <v>2540</v>
      </c>
      <c r="G384" s="1">
        <v>1711</v>
      </c>
      <c r="H384" s="1">
        <v>2893</v>
      </c>
      <c r="I384" t="str">
        <f t="shared" si="19"/>
        <v>Horeca</v>
      </c>
      <c r="J384" t="str">
        <f t="shared" si="17"/>
        <v>Other</v>
      </c>
      <c r="K384" s="1">
        <f t="shared" si="18"/>
        <v>57502</v>
      </c>
    </row>
    <row r="385" spans="1:11">
      <c r="A385">
        <v>1</v>
      </c>
      <c r="B385">
        <v>3</v>
      </c>
      <c r="C385" s="1">
        <v>1821</v>
      </c>
      <c r="D385" s="1">
        <v>1364</v>
      </c>
      <c r="E385" s="1">
        <v>3450</v>
      </c>
      <c r="F385" s="1">
        <v>4006</v>
      </c>
      <c r="G385" s="1">
        <v>397</v>
      </c>
      <c r="H385" s="1">
        <v>361</v>
      </c>
      <c r="I385" t="str">
        <f t="shared" si="19"/>
        <v>Horeca</v>
      </c>
      <c r="J385" t="str">
        <f t="shared" si="17"/>
        <v>Other</v>
      </c>
      <c r="K385" s="1">
        <f t="shared" si="18"/>
        <v>11399</v>
      </c>
    </row>
    <row r="386" spans="1:11">
      <c r="A386">
        <v>1</v>
      </c>
      <c r="B386">
        <v>3</v>
      </c>
      <c r="C386" s="1">
        <v>10683</v>
      </c>
      <c r="D386" s="1">
        <v>21858</v>
      </c>
      <c r="E386" s="1">
        <v>15400</v>
      </c>
      <c r="F386" s="1">
        <v>3635</v>
      </c>
      <c r="G386" s="1">
        <v>282</v>
      </c>
      <c r="H386" s="1">
        <v>5120</v>
      </c>
      <c r="I386" t="str">
        <f t="shared" si="19"/>
        <v>Horeca</v>
      </c>
      <c r="J386" t="str">
        <f t="shared" si="17"/>
        <v>Other</v>
      </c>
      <c r="K386" s="1">
        <f t="shared" si="18"/>
        <v>56978</v>
      </c>
    </row>
    <row r="387" spans="1:11">
      <c r="A387">
        <v>1</v>
      </c>
      <c r="B387">
        <v>3</v>
      </c>
      <c r="C387" s="1">
        <v>11635</v>
      </c>
      <c r="D387" s="1">
        <v>922</v>
      </c>
      <c r="E387" s="1">
        <v>1614</v>
      </c>
      <c r="F387" s="1">
        <v>2583</v>
      </c>
      <c r="G387" s="1">
        <v>192</v>
      </c>
      <c r="H387" s="1">
        <v>1068</v>
      </c>
      <c r="I387" t="str">
        <f t="shared" si="19"/>
        <v>Horeca</v>
      </c>
      <c r="J387" t="str">
        <f t="shared" ref="J387:J441" si="20">IF(B387=1,"Lisbon",IF(B387=2,"Oporto",IF(B387=3,"Other","Check")))</f>
        <v>Other</v>
      </c>
      <c r="K387" s="1">
        <f t="shared" ref="K387:K441" si="21">SUM(C387:H387)</f>
        <v>18014</v>
      </c>
    </row>
    <row r="388" spans="1:11">
      <c r="A388">
        <v>1</v>
      </c>
      <c r="B388">
        <v>3</v>
      </c>
      <c r="C388" s="1">
        <v>1206</v>
      </c>
      <c r="D388" s="1">
        <v>3620</v>
      </c>
      <c r="E388" s="1">
        <v>2857</v>
      </c>
      <c r="F388" s="1">
        <v>1945</v>
      </c>
      <c r="G388" s="1">
        <v>353</v>
      </c>
      <c r="H388" s="1">
        <v>967</v>
      </c>
      <c r="I388" t="str">
        <f t="shared" si="19"/>
        <v>Horeca</v>
      </c>
      <c r="J388" t="str">
        <f t="shared" si="20"/>
        <v>Other</v>
      </c>
      <c r="K388" s="1">
        <f t="shared" si="21"/>
        <v>10948</v>
      </c>
    </row>
    <row r="389" spans="1:11">
      <c r="A389">
        <v>1</v>
      </c>
      <c r="B389">
        <v>3</v>
      </c>
      <c r="C389" s="1">
        <v>20918</v>
      </c>
      <c r="D389" s="1">
        <v>1916</v>
      </c>
      <c r="E389" s="1">
        <v>1573</v>
      </c>
      <c r="F389" s="1">
        <v>1960</v>
      </c>
      <c r="G389" s="1">
        <v>231</v>
      </c>
      <c r="H389" s="1">
        <v>961</v>
      </c>
      <c r="I389" t="str">
        <f t="shared" si="19"/>
        <v>Horeca</v>
      </c>
      <c r="J389" t="str">
        <f t="shared" si="20"/>
        <v>Other</v>
      </c>
      <c r="K389" s="1">
        <f t="shared" si="21"/>
        <v>27559</v>
      </c>
    </row>
    <row r="390" spans="1:11">
      <c r="A390">
        <v>1</v>
      </c>
      <c r="B390">
        <v>3</v>
      </c>
      <c r="C390" s="1">
        <v>9785</v>
      </c>
      <c r="D390" s="1">
        <v>848</v>
      </c>
      <c r="E390" s="1">
        <v>1172</v>
      </c>
      <c r="F390" s="1">
        <v>1677</v>
      </c>
      <c r="G390" s="1">
        <v>200</v>
      </c>
      <c r="H390" s="1">
        <v>406</v>
      </c>
      <c r="I390" t="str">
        <f t="shared" si="19"/>
        <v>Horeca</v>
      </c>
      <c r="J390" t="str">
        <f t="shared" si="20"/>
        <v>Other</v>
      </c>
      <c r="K390" s="1">
        <f t="shared" si="21"/>
        <v>14088</v>
      </c>
    </row>
    <row r="391" spans="1:11">
      <c r="A391">
        <v>1</v>
      </c>
      <c r="B391">
        <v>3</v>
      </c>
      <c r="C391" s="1">
        <v>9385</v>
      </c>
      <c r="D391" s="1">
        <v>1530</v>
      </c>
      <c r="E391" s="1">
        <v>1422</v>
      </c>
      <c r="F391" s="1">
        <v>3019</v>
      </c>
      <c r="G391" s="1">
        <v>227</v>
      </c>
      <c r="H391" s="1">
        <v>684</v>
      </c>
      <c r="I391" t="str">
        <f t="shared" si="19"/>
        <v>Horeca</v>
      </c>
      <c r="J391" t="str">
        <f t="shared" si="20"/>
        <v>Other</v>
      </c>
      <c r="K391" s="1">
        <f t="shared" si="21"/>
        <v>16267</v>
      </c>
    </row>
    <row r="392" spans="1:11">
      <c r="A392">
        <v>1</v>
      </c>
      <c r="B392">
        <v>3</v>
      </c>
      <c r="C392" s="1">
        <v>3352</v>
      </c>
      <c r="D392" s="1">
        <v>1181</v>
      </c>
      <c r="E392" s="1">
        <v>1328</v>
      </c>
      <c r="F392" s="1">
        <v>5502</v>
      </c>
      <c r="G392" s="1">
        <v>311</v>
      </c>
      <c r="H392" s="1">
        <v>1000</v>
      </c>
      <c r="I392" t="str">
        <f t="shared" si="19"/>
        <v>Horeca</v>
      </c>
      <c r="J392" t="str">
        <f t="shared" si="20"/>
        <v>Other</v>
      </c>
      <c r="K392" s="1">
        <f t="shared" si="21"/>
        <v>12674</v>
      </c>
    </row>
    <row r="393" spans="1:11">
      <c r="A393">
        <v>1</v>
      </c>
      <c r="B393">
        <v>3</v>
      </c>
      <c r="C393" s="1">
        <v>2647</v>
      </c>
      <c r="D393" s="1">
        <v>2761</v>
      </c>
      <c r="E393" s="1">
        <v>2313</v>
      </c>
      <c r="F393" s="1">
        <v>907</v>
      </c>
      <c r="G393" s="1">
        <v>95</v>
      </c>
      <c r="H393" s="1">
        <v>1827</v>
      </c>
      <c r="I393" t="str">
        <f t="shared" si="19"/>
        <v>Horeca</v>
      </c>
      <c r="J393" t="str">
        <f t="shared" si="20"/>
        <v>Other</v>
      </c>
      <c r="K393" s="1">
        <f t="shared" si="21"/>
        <v>10550</v>
      </c>
    </row>
    <row r="394" spans="1:11">
      <c r="A394">
        <v>1</v>
      </c>
      <c r="B394">
        <v>3</v>
      </c>
      <c r="C394" s="1">
        <v>518</v>
      </c>
      <c r="D394" s="1">
        <v>4180</v>
      </c>
      <c r="E394" s="1">
        <v>3600</v>
      </c>
      <c r="F394" s="1">
        <v>659</v>
      </c>
      <c r="G394" s="1">
        <v>122</v>
      </c>
      <c r="H394" s="1">
        <v>654</v>
      </c>
      <c r="I394" t="str">
        <f t="shared" si="19"/>
        <v>Horeca</v>
      </c>
      <c r="J394" t="str">
        <f t="shared" si="20"/>
        <v>Other</v>
      </c>
      <c r="K394" s="1">
        <f t="shared" si="21"/>
        <v>9733</v>
      </c>
    </row>
    <row r="395" spans="1:11">
      <c r="A395">
        <v>1</v>
      </c>
      <c r="B395">
        <v>3</v>
      </c>
      <c r="C395" s="1">
        <v>23632</v>
      </c>
      <c r="D395" s="1">
        <v>6730</v>
      </c>
      <c r="E395" s="1">
        <v>3842</v>
      </c>
      <c r="F395" s="1">
        <v>8620</v>
      </c>
      <c r="G395" s="1">
        <v>385</v>
      </c>
      <c r="H395" s="1">
        <v>819</v>
      </c>
      <c r="I395" t="str">
        <f>IF(A395=1,"Horeca",IF(A395=2,"Retail","Check"))</f>
        <v>Horeca</v>
      </c>
      <c r="J395" t="str">
        <f t="shared" si="20"/>
        <v>Other</v>
      </c>
      <c r="K395" s="1">
        <f t="shared" si="21"/>
        <v>44028</v>
      </c>
    </row>
    <row r="396" spans="1:11">
      <c r="A396">
        <v>1</v>
      </c>
      <c r="B396">
        <v>3</v>
      </c>
      <c r="C396" s="1">
        <v>12377</v>
      </c>
      <c r="D396" s="1">
        <v>865</v>
      </c>
      <c r="E396" s="1">
        <v>3204</v>
      </c>
      <c r="F396" s="1">
        <v>1398</v>
      </c>
      <c r="G396" s="1">
        <v>149</v>
      </c>
      <c r="H396" s="1">
        <v>452</v>
      </c>
      <c r="I396" t="str">
        <f t="shared" ref="I396:I441" si="22">IF(A396=1,"Horeca",IF(A396=2,"Retail","Check"))</f>
        <v>Horeca</v>
      </c>
      <c r="J396" t="str">
        <f t="shared" si="20"/>
        <v>Other</v>
      </c>
      <c r="K396" s="1">
        <f t="shared" si="21"/>
        <v>18445</v>
      </c>
    </row>
    <row r="397" spans="1:11">
      <c r="A397">
        <v>1</v>
      </c>
      <c r="B397">
        <v>3</v>
      </c>
      <c r="C397" s="1">
        <v>9602</v>
      </c>
      <c r="D397" s="1">
        <v>1316</v>
      </c>
      <c r="E397" s="1">
        <v>1263</v>
      </c>
      <c r="F397" s="1">
        <v>2921</v>
      </c>
      <c r="G397" s="1">
        <v>841</v>
      </c>
      <c r="H397" s="1">
        <v>290</v>
      </c>
      <c r="I397" t="str">
        <f t="shared" si="22"/>
        <v>Horeca</v>
      </c>
      <c r="J397" t="str">
        <f t="shared" si="20"/>
        <v>Other</v>
      </c>
      <c r="K397" s="1">
        <f t="shared" si="21"/>
        <v>16233</v>
      </c>
    </row>
    <row r="398" spans="1:11">
      <c r="A398">
        <v>2</v>
      </c>
      <c r="B398">
        <v>3</v>
      </c>
      <c r="C398" s="1">
        <v>4515</v>
      </c>
      <c r="D398" s="1">
        <v>11991</v>
      </c>
      <c r="E398" s="1">
        <v>9345</v>
      </c>
      <c r="F398" s="1">
        <v>2644</v>
      </c>
      <c r="G398" s="1">
        <v>3378</v>
      </c>
      <c r="H398" s="1">
        <v>2213</v>
      </c>
      <c r="I398" t="str">
        <f t="shared" si="22"/>
        <v>Retail</v>
      </c>
      <c r="J398" t="str">
        <f t="shared" si="20"/>
        <v>Other</v>
      </c>
      <c r="K398" s="1">
        <f t="shared" si="21"/>
        <v>34086</v>
      </c>
    </row>
    <row r="399" spans="1:11">
      <c r="A399">
        <v>1</v>
      </c>
      <c r="B399">
        <v>3</v>
      </c>
      <c r="C399" s="1">
        <v>11535</v>
      </c>
      <c r="D399" s="1">
        <v>1666</v>
      </c>
      <c r="E399" s="1">
        <v>1428</v>
      </c>
      <c r="F399" s="1">
        <v>6838</v>
      </c>
      <c r="G399" s="1">
        <v>64</v>
      </c>
      <c r="H399" s="1">
        <v>743</v>
      </c>
      <c r="I399" t="str">
        <f t="shared" si="22"/>
        <v>Horeca</v>
      </c>
      <c r="J399" t="str">
        <f t="shared" si="20"/>
        <v>Other</v>
      </c>
      <c r="K399" s="1">
        <f t="shared" si="21"/>
        <v>22274</v>
      </c>
    </row>
    <row r="400" spans="1:11">
      <c r="A400">
        <v>1</v>
      </c>
      <c r="B400">
        <v>3</v>
      </c>
      <c r="C400" s="1">
        <v>11442</v>
      </c>
      <c r="D400" s="1">
        <v>1032</v>
      </c>
      <c r="E400" s="1">
        <v>582</v>
      </c>
      <c r="F400" s="1">
        <v>5390</v>
      </c>
      <c r="G400" s="1">
        <v>74</v>
      </c>
      <c r="H400" s="1">
        <v>247</v>
      </c>
      <c r="I400" t="str">
        <f t="shared" si="22"/>
        <v>Horeca</v>
      </c>
      <c r="J400" t="str">
        <f t="shared" si="20"/>
        <v>Other</v>
      </c>
      <c r="K400" s="1">
        <f t="shared" si="21"/>
        <v>18767</v>
      </c>
    </row>
    <row r="401" spans="1:11">
      <c r="A401">
        <v>1</v>
      </c>
      <c r="B401">
        <v>3</v>
      </c>
      <c r="C401" s="1">
        <v>9612</v>
      </c>
      <c r="D401" s="1">
        <v>577</v>
      </c>
      <c r="E401" s="1">
        <v>935</v>
      </c>
      <c r="F401" s="1">
        <v>1601</v>
      </c>
      <c r="G401" s="1">
        <v>469</v>
      </c>
      <c r="H401" s="1">
        <v>375</v>
      </c>
      <c r="I401" t="str">
        <f t="shared" si="22"/>
        <v>Horeca</v>
      </c>
      <c r="J401" t="str">
        <f t="shared" si="20"/>
        <v>Other</v>
      </c>
      <c r="K401" s="1">
        <f t="shared" si="21"/>
        <v>13569</v>
      </c>
    </row>
    <row r="402" spans="1:11">
      <c r="A402">
        <v>1</v>
      </c>
      <c r="B402">
        <v>3</v>
      </c>
      <c r="C402" s="1">
        <v>4446</v>
      </c>
      <c r="D402" s="1">
        <v>906</v>
      </c>
      <c r="E402" s="1">
        <v>1238</v>
      </c>
      <c r="F402" s="1">
        <v>3576</v>
      </c>
      <c r="G402" s="1">
        <v>153</v>
      </c>
      <c r="H402" s="1">
        <v>1014</v>
      </c>
      <c r="I402" t="str">
        <f t="shared" si="22"/>
        <v>Horeca</v>
      </c>
      <c r="J402" t="str">
        <f t="shared" si="20"/>
        <v>Other</v>
      </c>
      <c r="K402" s="1">
        <f t="shared" si="21"/>
        <v>11333</v>
      </c>
    </row>
    <row r="403" spans="1:11">
      <c r="A403">
        <v>1</v>
      </c>
      <c r="B403">
        <v>3</v>
      </c>
      <c r="C403" s="1">
        <v>27167</v>
      </c>
      <c r="D403" s="1">
        <v>2801</v>
      </c>
      <c r="E403" s="1">
        <v>2128</v>
      </c>
      <c r="F403" s="1">
        <v>13223</v>
      </c>
      <c r="G403" s="1">
        <v>92</v>
      </c>
      <c r="H403" s="1">
        <v>1902</v>
      </c>
      <c r="I403" t="str">
        <f t="shared" si="22"/>
        <v>Horeca</v>
      </c>
      <c r="J403" t="str">
        <f t="shared" si="20"/>
        <v>Other</v>
      </c>
      <c r="K403" s="1">
        <f t="shared" si="21"/>
        <v>47313</v>
      </c>
    </row>
    <row r="404" spans="1:11">
      <c r="A404">
        <v>1</v>
      </c>
      <c r="B404">
        <v>3</v>
      </c>
      <c r="C404" s="1">
        <v>26539</v>
      </c>
      <c r="D404" s="1">
        <v>4753</v>
      </c>
      <c r="E404" s="1">
        <v>5091</v>
      </c>
      <c r="F404" s="1">
        <v>220</v>
      </c>
      <c r="G404" s="1">
        <v>10</v>
      </c>
      <c r="H404" s="1">
        <v>340</v>
      </c>
      <c r="I404" t="str">
        <f t="shared" si="22"/>
        <v>Horeca</v>
      </c>
      <c r="J404" t="str">
        <f t="shared" si="20"/>
        <v>Other</v>
      </c>
      <c r="K404" s="1">
        <f t="shared" si="21"/>
        <v>36953</v>
      </c>
    </row>
    <row r="405" spans="1:11">
      <c r="A405">
        <v>1</v>
      </c>
      <c r="B405">
        <v>3</v>
      </c>
      <c r="C405" s="1">
        <v>25606</v>
      </c>
      <c r="D405" s="1">
        <v>11006</v>
      </c>
      <c r="E405" s="1">
        <v>4604</v>
      </c>
      <c r="F405" s="1">
        <v>127</v>
      </c>
      <c r="G405" s="1">
        <v>632</v>
      </c>
      <c r="H405" s="1">
        <v>288</v>
      </c>
      <c r="I405" t="str">
        <f t="shared" si="22"/>
        <v>Horeca</v>
      </c>
      <c r="J405" t="str">
        <f t="shared" si="20"/>
        <v>Other</v>
      </c>
      <c r="K405" s="1">
        <f t="shared" si="21"/>
        <v>42263</v>
      </c>
    </row>
    <row r="406" spans="1:11">
      <c r="A406">
        <v>1</v>
      </c>
      <c r="B406">
        <v>3</v>
      </c>
      <c r="C406" s="1">
        <v>18073</v>
      </c>
      <c r="D406" s="1">
        <v>4613</v>
      </c>
      <c r="E406" s="1">
        <v>3444</v>
      </c>
      <c r="F406" s="1">
        <v>4324</v>
      </c>
      <c r="G406" s="1">
        <v>914</v>
      </c>
      <c r="H406" s="1">
        <v>715</v>
      </c>
      <c r="I406" t="str">
        <f t="shared" si="22"/>
        <v>Horeca</v>
      </c>
      <c r="J406" t="str">
        <f t="shared" si="20"/>
        <v>Other</v>
      </c>
      <c r="K406" s="1">
        <f t="shared" si="21"/>
        <v>32083</v>
      </c>
    </row>
    <row r="407" spans="1:11">
      <c r="A407">
        <v>1</v>
      </c>
      <c r="B407">
        <v>3</v>
      </c>
      <c r="C407" s="1">
        <v>6884</v>
      </c>
      <c r="D407" s="1">
        <v>1046</v>
      </c>
      <c r="E407" s="1">
        <v>1167</v>
      </c>
      <c r="F407" s="1">
        <v>2069</v>
      </c>
      <c r="G407" s="1">
        <v>593</v>
      </c>
      <c r="H407" s="1">
        <v>378</v>
      </c>
      <c r="I407" t="str">
        <f t="shared" si="22"/>
        <v>Horeca</v>
      </c>
      <c r="J407" t="str">
        <f t="shared" si="20"/>
        <v>Other</v>
      </c>
      <c r="K407" s="1">
        <f t="shared" si="21"/>
        <v>12137</v>
      </c>
    </row>
    <row r="408" spans="1:11">
      <c r="A408">
        <v>1</v>
      </c>
      <c r="B408">
        <v>3</v>
      </c>
      <c r="C408" s="1">
        <v>25066</v>
      </c>
      <c r="D408" s="1">
        <v>5010</v>
      </c>
      <c r="E408" s="1">
        <v>5026</v>
      </c>
      <c r="F408" s="1">
        <v>9806</v>
      </c>
      <c r="G408" s="1">
        <v>1092</v>
      </c>
      <c r="H408" s="1">
        <v>960</v>
      </c>
      <c r="I408" t="str">
        <f t="shared" si="22"/>
        <v>Horeca</v>
      </c>
      <c r="J408" t="str">
        <f t="shared" si="20"/>
        <v>Other</v>
      </c>
      <c r="K408" s="1">
        <f t="shared" si="21"/>
        <v>46960</v>
      </c>
    </row>
    <row r="409" spans="1:11">
      <c r="A409">
        <v>2</v>
      </c>
      <c r="B409">
        <v>3</v>
      </c>
      <c r="C409" s="1">
        <v>7362</v>
      </c>
      <c r="D409" s="1">
        <v>12844</v>
      </c>
      <c r="E409" s="1">
        <v>18683</v>
      </c>
      <c r="F409" s="1">
        <v>2854</v>
      </c>
      <c r="G409" s="1">
        <v>7883</v>
      </c>
      <c r="H409" s="1">
        <v>553</v>
      </c>
      <c r="I409" t="str">
        <f t="shared" si="22"/>
        <v>Retail</v>
      </c>
      <c r="J409" t="str">
        <f t="shared" si="20"/>
        <v>Other</v>
      </c>
      <c r="K409" s="1">
        <f t="shared" si="21"/>
        <v>50179</v>
      </c>
    </row>
    <row r="410" spans="1:11">
      <c r="A410">
        <v>2</v>
      </c>
      <c r="B410">
        <v>3</v>
      </c>
      <c r="C410" s="1">
        <v>8257</v>
      </c>
      <c r="D410" s="1">
        <v>3880</v>
      </c>
      <c r="E410" s="1">
        <v>6407</v>
      </c>
      <c r="F410" s="1">
        <v>1646</v>
      </c>
      <c r="G410" s="1">
        <v>2730</v>
      </c>
      <c r="H410" s="1">
        <v>344</v>
      </c>
      <c r="I410" t="str">
        <f t="shared" si="22"/>
        <v>Retail</v>
      </c>
      <c r="J410" t="str">
        <f t="shared" si="20"/>
        <v>Other</v>
      </c>
      <c r="K410" s="1">
        <f t="shared" si="21"/>
        <v>23264</v>
      </c>
    </row>
    <row r="411" spans="1:11">
      <c r="A411">
        <v>1</v>
      </c>
      <c r="B411">
        <v>3</v>
      </c>
      <c r="C411" s="1">
        <v>8708</v>
      </c>
      <c r="D411" s="1">
        <v>3634</v>
      </c>
      <c r="E411" s="1">
        <v>6100</v>
      </c>
      <c r="F411" s="1">
        <v>2349</v>
      </c>
      <c r="G411" s="1">
        <v>2123</v>
      </c>
      <c r="H411" s="1">
        <v>5137</v>
      </c>
      <c r="I411" t="str">
        <f t="shared" si="22"/>
        <v>Horeca</v>
      </c>
      <c r="J411" t="str">
        <f t="shared" si="20"/>
        <v>Other</v>
      </c>
      <c r="K411" s="1">
        <f t="shared" si="21"/>
        <v>28051</v>
      </c>
    </row>
    <row r="412" spans="1:11">
      <c r="A412">
        <v>1</v>
      </c>
      <c r="B412">
        <v>3</v>
      </c>
      <c r="C412" s="1">
        <v>6633</v>
      </c>
      <c r="D412" s="1">
        <v>2096</v>
      </c>
      <c r="E412" s="1">
        <v>4563</v>
      </c>
      <c r="F412" s="1">
        <v>1389</v>
      </c>
      <c r="G412" s="1">
        <v>1860</v>
      </c>
      <c r="H412" s="1">
        <v>1892</v>
      </c>
      <c r="I412" t="str">
        <f t="shared" si="22"/>
        <v>Horeca</v>
      </c>
      <c r="J412" t="str">
        <f t="shared" si="20"/>
        <v>Other</v>
      </c>
      <c r="K412" s="1">
        <f t="shared" si="21"/>
        <v>18433</v>
      </c>
    </row>
    <row r="413" spans="1:11">
      <c r="A413">
        <v>1</v>
      </c>
      <c r="B413">
        <v>3</v>
      </c>
      <c r="C413" s="1">
        <v>2126</v>
      </c>
      <c r="D413" s="1">
        <v>3289</v>
      </c>
      <c r="E413" s="1">
        <v>3281</v>
      </c>
      <c r="F413" s="1">
        <v>1535</v>
      </c>
      <c r="G413" s="1">
        <v>235</v>
      </c>
      <c r="H413" s="1">
        <v>4365</v>
      </c>
      <c r="I413" t="str">
        <f t="shared" si="22"/>
        <v>Horeca</v>
      </c>
      <c r="J413" t="str">
        <f t="shared" si="20"/>
        <v>Other</v>
      </c>
      <c r="K413" s="1">
        <f t="shared" si="21"/>
        <v>14831</v>
      </c>
    </row>
    <row r="414" spans="1:11">
      <c r="A414">
        <v>1</v>
      </c>
      <c r="B414">
        <v>3</v>
      </c>
      <c r="C414" s="1">
        <v>97</v>
      </c>
      <c r="D414" s="1">
        <v>3605</v>
      </c>
      <c r="E414" s="1">
        <v>12400</v>
      </c>
      <c r="F414" s="1">
        <v>98</v>
      </c>
      <c r="G414" s="1">
        <v>2970</v>
      </c>
      <c r="H414" s="1">
        <v>62</v>
      </c>
      <c r="I414" t="str">
        <f t="shared" si="22"/>
        <v>Horeca</v>
      </c>
      <c r="J414" t="str">
        <f t="shared" si="20"/>
        <v>Other</v>
      </c>
      <c r="K414" s="1">
        <f t="shared" si="21"/>
        <v>19232</v>
      </c>
    </row>
    <row r="415" spans="1:11">
      <c r="A415">
        <v>1</v>
      </c>
      <c r="B415">
        <v>3</v>
      </c>
      <c r="C415" s="1">
        <v>4983</v>
      </c>
      <c r="D415" s="1">
        <v>4859</v>
      </c>
      <c r="E415" s="1">
        <v>6633</v>
      </c>
      <c r="F415" s="1">
        <v>17866</v>
      </c>
      <c r="G415" s="1">
        <v>912</v>
      </c>
      <c r="H415" s="1">
        <v>2435</v>
      </c>
      <c r="I415" t="str">
        <f t="shared" si="22"/>
        <v>Horeca</v>
      </c>
      <c r="J415" t="str">
        <f t="shared" si="20"/>
        <v>Other</v>
      </c>
      <c r="K415" s="1">
        <f t="shared" si="21"/>
        <v>37688</v>
      </c>
    </row>
    <row r="416" spans="1:11">
      <c r="A416">
        <v>1</v>
      </c>
      <c r="B416">
        <v>3</v>
      </c>
      <c r="C416" s="1">
        <v>5969</v>
      </c>
      <c r="D416" s="1">
        <v>1990</v>
      </c>
      <c r="E416" s="1">
        <v>3417</v>
      </c>
      <c r="F416" s="1">
        <v>5679</v>
      </c>
      <c r="G416" s="1">
        <v>1135</v>
      </c>
      <c r="H416" s="1">
        <v>290</v>
      </c>
      <c r="I416" t="str">
        <f t="shared" si="22"/>
        <v>Horeca</v>
      </c>
      <c r="J416" t="str">
        <f t="shared" si="20"/>
        <v>Other</v>
      </c>
      <c r="K416" s="1">
        <f t="shared" si="21"/>
        <v>18480</v>
      </c>
    </row>
    <row r="417" spans="1:11">
      <c r="A417">
        <v>2</v>
      </c>
      <c r="B417">
        <v>3</v>
      </c>
      <c r="C417" s="1">
        <v>7842</v>
      </c>
      <c r="D417" s="1">
        <v>6046</v>
      </c>
      <c r="E417" s="1">
        <v>8552</v>
      </c>
      <c r="F417" s="1">
        <v>1691</v>
      </c>
      <c r="G417" s="1">
        <v>3540</v>
      </c>
      <c r="H417" s="1">
        <v>1874</v>
      </c>
      <c r="I417" t="str">
        <f t="shared" si="22"/>
        <v>Retail</v>
      </c>
      <c r="J417" t="str">
        <f t="shared" si="20"/>
        <v>Other</v>
      </c>
      <c r="K417" s="1">
        <f t="shared" si="21"/>
        <v>29545</v>
      </c>
    </row>
    <row r="418" spans="1:11">
      <c r="A418">
        <v>2</v>
      </c>
      <c r="B418">
        <v>3</v>
      </c>
      <c r="C418" s="1">
        <v>4389</v>
      </c>
      <c r="D418" s="1">
        <v>10940</v>
      </c>
      <c r="E418" s="1">
        <v>10908</v>
      </c>
      <c r="F418" s="1">
        <v>848</v>
      </c>
      <c r="G418" s="1">
        <v>6728</v>
      </c>
      <c r="H418" s="1">
        <v>993</v>
      </c>
      <c r="I418" t="str">
        <f t="shared" si="22"/>
        <v>Retail</v>
      </c>
      <c r="J418" t="str">
        <f t="shared" si="20"/>
        <v>Other</v>
      </c>
      <c r="K418" s="1">
        <f t="shared" si="21"/>
        <v>34806</v>
      </c>
    </row>
    <row r="419" spans="1:11">
      <c r="A419">
        <v>1</v>
      </c>
      <c r="B419">
        <v>3</v>
      </c>
      <c r="C419" s="1">
        <v>5065</v>
      </c>
      <c r="D419" s="1">
        <v>5499</v>
      </c>
      <c r="E419" s="1">
        <v>11055</v>
      </c>
      <c r="F419" s="1">
        <v>364</v>
      </c>
      <c r="G419" s="1">
        <v>3485</v>
      </c>
      <c r="H419" s="1">
        <v>1063</v>
      </c>
      <c r="I419" t="str">
        <f t="shared" si="22"/>
        <v>Horeca</v>
      </c>
      <c r="J419" t="str">
        <f t="shared" si="20"/>
        <v>Other</v>
      </c>
      <c r="K419" s="1">
        <f t="shared" si="21"/>
        <v>26531</v>
      </c>
    </row>
    <row r="420" spans="1:11">
      <c r="A420">
        <v>2</v>
      </c>
      <c r="B420">
        <v>3</v>
      </c>
      <c r="C420" s="1">
        <v>660</v>
      </c>
      <c r="D420" s="1">
        <v>8494</v>
      </c>
      <c r="E420" s="1">
        <v>18622</v>
      </c>
      <c r="F420" s="1">
        <v>133</v>
      </c>
      <c r="G420" s="1">
        <v>6740</v>
      </c>
      <c r="H420" s="1">
        <v>776</v>
      </c>
      <c r="I420" t="str">
        <f t="shared" si="22"/>
        <v>Retail</v>
      </c>
      <c r="J420" t="str">
        <f t="shared" si="20"/>
        <v>Other</v>
      </c>
      <c r="K420" s="1">
        <f t="shared" si="21"/>
        <v>35425</v>
      </c>
    </row>
    <row r="421" spans="1:11">
      <c r="A421">
        <v>1</v>
      </c>
      <c r="B421">
        <v>3</v>
      </c>
      <c r="C421" s="1">
        <v>8861</v>
      </c>
      <c r="D421" s="1">
        <v>3783</v>
      </c>
      <c r="E421" s="1">
        <v>2223</v>
      </c>
      <c r="F421" s="1">
        <v>633</v>
      </c>
      <c r="G421" s="1">
        <v>1580</v>
      </c>
      <c r="H421" s="1">
        <v>1521</v>
      </c>
      <c r="I421" t="str">
        <f t="shared" si="22"/>
        <v>Horeca</v>
      </c>
      <c r="J421" t="str">
        <f t="shared" si="20"/>
        <v>Other</v>
      </c>
      <c r="K421" s="1">
        <f t="shared" si="21"/>
        <v>18601</v>
      </c>
    </row>
    <row r="422" spans="1:11">
      <c r="A422">
        <v>1</v>
      </c>
      <c r="B422">
        <v>3</v>
      </c>
      <c r="C422" s="1">
        <v>4456</v>
      </c>
      <c r="D422" s="1">
        <v>5266</v>
      </c>
      <c r="E422" s="1">
        <v>13227</v>
      </c>
      <c r="F422" s="1">
        <v>25</v>
      </c>
      <c r="G422" s="1">
        <v>6818</v>
      </c>
      <c r="H422" s="1">
        <v>1393</v>
      </c>
      <c r="I422" t="str">
        <f t="shared" si="22"/>
        <v>Horeca</v>
      </c>
      <c r="J422" t="str">
        <f t="shared" si="20"/>
        <v>Other</v>
      </c>
      <c r="K422" s="1">
        <f t="shared" si="21"/>
        <v>31185</v>
      </c>
    </row>
    <row r="423" spans="1:11">
      <c r="A423">
        <v>2</v>
      </c>
      <c r="B423">
        <v>3</v>
      </c>
      <c r="C423" s="1">
        <v>17063</v>
      </c>
      <c r="D423" s="1">
        <v>4847</v>
      </c>
      <c r="E423" s="1">
        <v>9053</v>
      </c>
      <c r="F423" s="1">
        <v>1031</v>
      </c>
      <c r="G423" s="1">
        <v>3415</v>
      </c>
      <c r="H423" s="1">
        <v>1784</v>
      </c>
      <c r="I423" t="str">
        <f t="shared" si="22"/>
        <v>Retail</v>
      </c>
      <c r="J423" t="str">
        <f t="shared" si="20"/>
        <v>Other</v>
      </c>
      <c r="K423" s="1">
        <f t="shared" si="21"/>
        <v>37193</v>
      </c>
    </row>
    <row r="424" spans="1:11">
      <c r="A424">
        <v>1</v>
      </c>
      <c r="B424">
        <v>3</v>
      </c>
      <c r="C424" s="1">
        <v>26400</v>
      </c>
      <c r="D424" s="1">
        <v>1377</v>
      </c>
      <c r="E424" s="1">
        <v>4172</v>
      </c>
      <c r="F424" s="1">
        <v>830</v>
      </c>
      <c r="G424" s="1">
        <v>948</v>
      </c>
      <c r="H424" s="1">
        <v>1218</v>
      </c>
      <c r="I424" t="str">
        <f t="shared" si="22"/>
        <v>Horeca</v>
      </c>
      <c r="J424" t="str">
        <f t="shared" si="20"/>
        <v>Other</v>
      </c>
      <c r="K424" s="1">
        <f t="shared" si="21"/>
        <v>34945</v>
      </c>
    </row>
    <row r="425" spans="1:11">
      <c r="A425">
        <v>2</v>
      </c>
      <c r="B425">
        <v>3</v>
      </c>
      <c r="C425" s="1">
        <v>17565</v>
      </c>
      <c r="D425" s="1">
        <v>3686</v>
      </c>
      <c r="E425" s="1">
        <v>4657</v>
      </c>
      <c r="F425" s="1">
        <v>1059</v>
      </c>
      <c r="G425" s="1">
        <v>1803</v>
      </c>
      <c r="H425" s="1">
        <v>668</v>
      </c>
      <c r="I425" t="str">
        <f t="shared" si="22"/>
        <v>Retail</v>
      </c>
      <c r="J425" t="str">
        <f t="shared" si="20"/>
        <v>Other</v>
      </c>
      <c r="K425" s="1">
        <f t="shared" si="21"/>
        <v>29438</v>
      </c>
    </row>
    <row r="426" spans="1:11">
      <c r="A426">
        <v>2</v>
      </c>
      <c r="B426">
        <v>3</v>
      </c>
      <c r="C426" s="1">
        <v>16980</v>
      </c>
      <c r="D426" s="1">
        <v>2884</v>
      </c>
      <c r="E426" s="1">
        <v>12232</v>
      </c>
      <c r="F426" s="1">
        <v>874</v>
      </c>
      <c r="G426" s="1">
        <v>3213</v>
      </c>
      <c r="H426" s="1">
        <v>249</v>
      </c>
      <c r="I426" t="str">
        <f t="shared" si="22"/>
        <v>Retail</v>
      </c>
      <c r="J426" t="str">
        <f t="shared" si="20"/>
        <v>Other</v>
      </c>
      <c r="K426" s="1">
        <f t="shared" si="21"/>
        <v>36432</v>
      </c>
    </row>
    <row r="427" spans="1:11">
      <c r="A427">
        <v>1</v>
      </c>
      <c r="B427">
        <v>3</v>
      </c>
      <c r="C427" s="1">
        <v>11243</v>
      </c>
      <c r="D427" s="1">
        <v>2408</v>
      </c>
      <c r="E427" s="1">
        <v>2593</v>
      </c>
      <c r="F427" s="1">
        <v>15348</v>
      </c>
      <c r="G427" s="1">
        <v>108</v>
      </c>
      <c r="H427" s="1">
        <v>1886</v>
      </c>
      <c r="I427" t="str">
        <f t="shared" si="22"/>
        <v>Horeca</v>
      </c>
      <c r="J427" t="str">
        <f t="shared" si="20"/>
        <v>Other</v>
      </c>
      <c r="K427" s="1">
        <f t="shared" si="21"/>
        <v>33586</v>
      </c>
    </row>
    <row r="428" spans="1:11">
      <c r="A428">
        <v>1</v>
      </c>
      <c r="B428">
        <v>3</v>
      </c>
      <c r="C428" s="1">
        <v>13134</v>
      </c>
      <c r="D428" s="1">
        <v>9347</v>
      </c>
      <c r="E428" s="1">
        <v>14316</v>
      </c>
      <c r="F428" s="1">
        <v>3141</v>
      </c>
      <c r="G428" s="1">
        <v>5079</v>
      </c>
      <c r="H428" s="1">
        <v>1894</v>
      </c>
      <c r="I428" t="str">
        <f t="shared" si="22"/>
        <v>Horeca</v>
      </c>
      <c r="J428" t="str">
        <f t="shared" si="20"/>
        <v>Other</v>
      </c>
      <c r="K428" s="1">
        <f t="shared" si="21"/>
        <v>46911</v>
      </c>
    </row>
    <row r="429" spans="1:11">
      <c r="A429">
        <v>1</v>
      </c>
      <c r="B429">
        <v>3</v>
      </c>
      <c r="C429" s="1">
        <v>31012</v>
      </c>
      <c r="D429" s="1">
        <v>16687</v>
      </c>
      <c r="E429" s="1">
        <v>5429</v>
      </c>
      <c r="F429" s="1">
        <v>15082</v>
      </c>
      <c r="G429" s="1">
        <v>439</v>
      </c>
      <c r="H429" s="1">
        <v>1163</v>
      </c>
      <c r="I429" t="str">
        <f t="shared" si="22"/>
        <v>Horeca</v>
      </c>
      <c r="J429" t="str">
        <f t="shared" si="20"/>
        <v>Other</v>
      </c>
      <c r="K429" s="1">
        <f t="shared" si="21"/>
        <v>69812</v>
      </c>
    </row>
    <row r="430" spans="1:11">
      <c r="A430">
        <v>1</v>
      </c>
      <c r="B430">
        <v>3</v>
      </c>
      <c r="C430" s="1">
        <v>3047</v>
      </c>
      <c r="D430" s="1">
        <v>5970</v>
      </c>
      <c r="E430" s="1">
        <v>4910</v>
      </c>
      <c r="F430" s="1">
        <v>2198</v>
      </c>
      <c r="G430" s="1">
        <v>850</v>
      </c>
      <c r="H430" s="1">
        <v>317</v>
      </c>
      <c r="I430" t="str">
        <f t="shared" si="22"/>
        <v>Horeca</v>
      </c>
      <c r="J430" t="str">
        <f t="shared" si="20"/>
        <v>Other</v>
      </c>
      <c r="K430" s="1">
        <f t="shared" si="21"/>
        <v>17292</v>
      </c>
    </row>
    <row r="431" spans="1:11">
      <c r="A431">
        <v>1</v>
      </c>
      <c r="B431">
        <v>3</v>
      </c>
      <c r="C431" s="1">
        <v>8607</v>
      </c>
      <c r="D431" s="1">
        <v>1750</v>
      </c>
      <c r="E431" s="1">
        <v>3580</v>
      </c>
      <c r="F431" s="1">
        <v>47</v>
      </c>
      <c r="G431" s="1">
        <v>84</v>
      </c>
      <c r="H431" s="1">
        <v>2501</v>
      </c>
      <c r="I431" t="str">
        <f t="shared" si="22"/>
        <v>Horeca</v>
      </c>
      <c r="J431" t="str">
        <f t="shared" si="20"/>
        <v>Other</v>
      </c>
      <c r="K431" s="1">
        <f t="shared" si="21"/>
        <v>16569</v>
      </c>
    </row>
    <row r="432" spans="1:11">
      <c r="A432">
        <v>1</v>
      </c>
      <c r="B432">
        <v>3</v>
      </c>
      <c r="C432" s="1">
        <v>3097</v>
      </c>
      <c r="D432" s="1">
        <v>4230</v>
      </c>
      <c r="E432" s="1">
        <v>16483</v>
      </c>
      <c r="F432" s="1">
        <v>575</v>
      </c>
      <c r="G432" s="1">
        <v>241</v>
      </c>
      <c r="H432" s="1">
        <v>2080</v>
      </c>
      <c r="I432" t="str">
        <f t="shared" si="22"/>
        <v>Horeca</v>
      </c>
      <c r="J432" t="str">
        <f t="shared" si="20"/>
        <v>Other</v>
      </c>
      <c r="K432" s="1">
        <f t="shared" si="21"/>
        <v>26706</v>
      </c>
    </row>
    <row r="433" spans="1:11">
      <c r="A433">
        <v>1</v>
      </c>
      <c r="B433">
        <v>3</v>
      </c>
      <c r="C433" s="1">
        <v>8533</v>
      </c>
      <c r="D433" s="1">
        <v>5506</v>
      </c>
      <c r="E433" s="1">
        <v>5160</v>
      </c>
      <c r="F433" s="1">
        <v>13486</v>
      </c>
      <c r="G433" s="1">
        <v>1377</v>
      </c>
      <c r="H433" s="1">
        <v>1498</v>
      </c>
      <c r="I433" t="str">
        <f t="shared" si="22"/>
        <v>Horeca</v>
      </c>
      <c r="J433" t="str">
        <f t="shared" si="20"/>
        <v>Other</v>
      </c>
      <c r="K433" s="1">
        <f t="shared" si="21"/>
        <v>35560</v>
      </c>
    </row>
    <row r="434" spans="1:11">
      <c r="A434">
        <v>1</v>
      </c>
      <c r="B434">
        <v>3</v>
      </c>
      <c r="C434" s="1">
        <v>21117</v>
      </c>
      <c r="D434" s="1">
        <v>1162</v>
      </c>
      <c r="E434" s="1">
        <v>4754</v>
      </c>
      <c r="F434" s="1">
        <v>269</v>
      </c>
      <c r="G434" s="1">
        <v>1328</v>
      </c>
      <c r="H434" s="1">
        <v>395</v>
      </c>
      <c r="I434" t="str">
        <f t="shared" si="22"/>
        <v>Horeca</v>
      </c>
      <c r="J434" t="str">
        <f t="shared" si="20"/>
        <v>Other</v>
      </c>
      <c r="K434" s="1">
        <f t="shared" si="21"/>
        <v>29025</v>
      </c>
    </row>
    <row r="435" spans="1:11">
      <c r="A435">
        <v>1</v>
      </c>
      <c r="B435">
        <v>3</v>
      </c>
      <c r="C435" s="1">
        <v>1982</v>
      </c>
      <c r="D435" s="1">
        <v>3218</v>
      </c>
      <c r="E435" s="1">
        <v>1493</v>
      </c>
      <c r="F435" s="1">
        <v>1541</v>
      </c>
      <c r="G435" s="1">
        <v>356</v>
      </c>
      <c r="H435" s="1">
        <v>1449</v>
      </c>
      <c r="I435" t="str">
        <f t="shared" si="22"/>
        <v>Horeca</v>
      </c>
      <c r="J435" t="str">
        <f t="shared" si="20"/>
        <v>Other</v>
      </c>
      <c r="K435" s="1">
        <f t="shared" si="21"/>
        <v>10039</v>
      </c>
    </row>
    <row r="436" spans="1:11">
      <c r="A436">
        <v>1</v>
      </c>
      <c r="B436">
        <v>3</v>
      </c>
      <c r="C436" s="1">
        <v>16731</v>
      </c>
      <c r="D436" s="1">
        <v>3922</v>
      </c>
      <c r="E436" s="1">
        <v>7994</v>
      </c>
      <c r="F436" s="1">
        <v>688</v>
      </c>
      <c r="G436" s="1">
        <v>2371</v>
      </c>
      <c r="H436" s="1">
        <v>838</v>
      </c>
      <c r="I436" t="str">
        <f t="shared" si="22"/>
        <v>Horeca</v>
      </c>
      <c r="J436" t="str">
        <f t="shared" si="20"/>
        <v>Other</v>
      </c>
      <c r="K436" s="1">
        <f t="shared" si="21"/>
        <v>32544</v>
      </c>
    </row>
    <row r="437" spans="1:11">
      <c r="A437">
        <v>1</v>
      </c>
      <c r="B437">
        <v>3</v>
      </c>
      <c r="C437" s="1">
        <v>29703</v>
      </c>
      <c r="D437" s="1">
        <v>12051</v>
      </c>
      <c r="E437" s="1">
        <v>16027</v>
      </c>
      <c r="F437" s="1">
        <v>13135</v>
      </c>
      <c r="G437" s="1">
        <v>182</v>
      </c>
      <c r="H437" s="1">
        <v>2204</v>
      </c>
      <c r="I437" t="str">
        <f t="shared" si="22"/>
        <v>Horeca</v>
      </c>
      <c r="J437" t="str">
        <f t="shared" si="20"/>
        <v>Other</v>
      </c>
      <c r="K437" s="1">
        <f t="shared" si="21"/>
        <v>73302</v>
      </c>
    </row>
    <row r="438" spans="1:11">
      <c r="A438">
        <v>1</v>
      </c>
      <c r="B438">
        <v>3</v>
      </c>
      <c r="C438" s="1">
        <v>39228</v>
      </c>
      <c r="D438" s="1">
        <v>1431</v>
      </c>
      <c r="E438" s="1">
        <v>764</v>
      </c>
      <c r="F438" s="1">
        <v>4510</v>
      </c>
      <c r="G438" s="1">
        <v>93</v>
      </c>
      <c r="H438" s="1">
        <v>2346</v>
      </c>
      <c r="I438" t="str">
        <f t="shared" si="22"/>
        <v>Horeca</v>
      </c>
      <c r="J438" t="str">
        <f t="shared" si="20"/>
        <v>Other</v>
      </c>
      <c r="K438" s="1">
        <f t="shared" si="21"/>
        <v>48372</v>
      </c>
    </row>
    <row r="439" spans="1:11">
      <c r="A439">
        <v>2</v>
      </c>
      <c r="B439">
        <v>3</v>
      </c>
      <c r="C439" s="1">
        <v>14531</v>
      </c>
      <c r="D439" s="1">
        <v>15488</v>
      </c>
      <c r="E439" s="1">
        <v>30243</v>
      </c>
      <c r="F439" s="1">
        <v>437</v>
      </c>
      <c r="G439" s="1">
        <v>14841</v>
      </c>
      <c r="H439" s="1">
        <v>1867</v>
      </c>
      <c r="I439" t="str">
        <f t="shared" si="22"/>
        <v>Retail</v>
      </c>
      <c r="J439" t="str">
        <f t="shared" si="20"/>
        <v>Other</v>
      </c>
      <c r="K439" s="1">
        <f t="shared" si="21"/>
        <v>77407</v>
      </c>
    </row>
    <row r="440" spans="1:11">
      <c r="A440">
        <v>1</v>
      </c>
      <c r="B440">
        <v>3</v>
      </c>
      <c r="C440" s="1">
        <v>10290</v>
      </c>
      <c r="D440" s="1">
        <v>1981</v>
      </c>
      <c r="E440" s="1">
        <v>2232</v>
      </c>
      <c r="F440" s="1">
        <v>1038</v>
      </c>
      <c r="G440" s="1">
        <v>168</v>
      </c>
      <c r="H440" s="1">
        <v>2125</v>
      </c>
      <c r="I440" t="str">
        <f t="shared" si="22"/>
        <v>Horeca</v>
      </c>
      <c r="J440" t="str">
        <f t="shared" si="20"/>
        <v>Other</v>
      </c>
      <c r="K440" s="1">
        <f t="shared" si="21"/>
        <v>17834</v>
      </c>
    </row>
    <row r="441" spans="1:11">
      <c r="A441">
        <v>1</v>
      </c>
      <c r="B441">
        <v>3</v>
      </c>
      <c r="C441" s="1">
        <v>2787</v>
      </c>
      <c r="D441" s="1">
        <v>1698</v>
      </c>
      <c r="E441" s="1">
        <v>2510</v>
      </c>
      <c r="F441" s="1">
        <v>65</v>
      </c>
      <c r="G441" s="1">
        <v>477</v>
      </c>
      <c r="H441" s="1">
        <v>52</v>
      </c>
      <c r="I441" t="str">
        <f t="shared" si="22"/>
        <v>Horeca</v>
      </c>
      <c r="J441" t="str">
        <f t="shared" si="20"/>
        <v>Other</v>
      </c>
      <c r="K441" s="1">
        <f t="shared" si="21"/>
        <v>7589</v>
      </c>
    </row>
  </sheetData>
  <mergeCells count="7">
    <mergeCell ref="Q3:R3"/>
    <mergeCell ref="O2:R2"/>
    <mergeCell ref="Q28:R28"/>
    <mergeCell ref="Q23:R23"/>
    <mergeCell ref="Q18:R18"/>
    <mergeCell ref="Q13:R13"/>
    <mergeCell ref="Q8:R8"/>
  </mergeCells>
  <conditionalFormatting sqref="A1:H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FC4B-5F97-4900-B02E-569B13619F47}">
  <dimension ref="A1:C8"/>
  <sheetViews>
    <sheetView workbookViewId="0">
      <selection activeCell="C9" sqref="C9"/>
    </sheetView>
  </sheetViews>
  <sheetFormatPr defaultRowHeight="15"/>
  <cols>
    <col min="1" max="1" width="19.5703125" customWidth="1"/>
    <col min="2" max="2" width="42.7109375" customWidth="1"/>
    <col min="3" max="3" width="16.5703125" customWidth="1"/>
    <col min="4" max="4" width="17" customWidth="1"/>
  </cols>
  <sheetData>
    <row r="1" spans="1:3" s="4" customFormat="1">
      <c r="A1" s="4" t="s">
        <v>22</v>
      </c>
      <c r="B1" s="4" t="s">
        <v>23</v>
      </c>
      <c r="C1" s="4" t="s">
        <v>24</v>
      </c>
    </row>
    <row r="2" spans="1:3">
      <c r="A2" t="s">
        <v>25</v>
      </c>
      <c r="B2" t="s">
        <v>26</v>
      </c>
      <c r="C2" t="s">
        <v>27</v>
      </c>
    </row>
    <row r="3" spans="1:3">
      <c r="A3" t="s">
        <v>28</v>
      </c>
      <c r="B3" t="s">
        <v>29</v>
      </c>
      <c r="C3" t="s">
        <v>30</v>
      </c>
    </row>
    <row r="4" spans="1:3">
      <c r="A4" t="s">
        <v>31</v>
      </c>
      <c r="B4" t="s">
        <v>32</v>
      </c>
      <c r="C4" t="s">
        <v>30</v>
      </c>
    </row>
    <row r="5" spans="1:3">
      <c r="A5" t="s">
        <v>33</v>
      </c>
      <c r="B5" t="s">
        <v>34</v>
      </c>
      <c r="C5" t="s">
        <v>35</v>
      </c>
    </row>
    <row r="6" spans="1:3">
      <c r="A6" t="s">
        <v>36</v>
      </c>
      <c r="B6" t="s">
        <v>37</v>
      </c>
      <c r="C6" t="s">
        <v>27</v>
      </c>
    </row>
    <row r="7" spans="1:3">
      <c r="A7" t="s">
        <v>38</v>
      </c>
      <c r="B7" t="s">
        <v>39</v>
      </c>
      <c r="C7" t="s">
        <v>40</v>
      </c>
    </row>
    <row r="8" spans="1:3">
      <c r="A8" t="s">
        <v>41</v>
      </c>
      <c r="B8" t="s">
        <v>42</v>
      </c>
      <c r="C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8D0-6C45-4251-B3C3-7658DFAEA032}">
  <dimension ref="A1:H441"/>
  <sheetViews>
    <sheetView workbookViewId="0">
      <selection sqref="A1:XFD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2CE4-F31D-42D6-B055-15107D36603A}">
  <dimension ref="A1:H25"/>
  <sheetViews>
    <sheetView topLeftCell="A33" workbookViewId="0">
      <selection activeCell="A13" sqref="A13:D16"/>
    </sheetView>
  </sheetViews>
  <sheetFormatPr defaultRowHeight="15"/>
  <cols>
    <col min="1" max="1" width="26.85546875" customWidth="1"/>
    <col min="2" max="2" width="16.28515625" customWidth="1"/>
    <col min="3" max="3" width="17.7109375" bestFit="1" customWidth="1"/>
    <col min="4" max="4" width="16" customWidth="1"/>
    <col min="7" max="7" width="17" style="1" customWidth="1"/>
    <col min="8" max="8" width="16.140625" style="1" customWidth="1"/>
  </cols>
  <sheetData>
    <row r="1" spans="1:8">
      <c r="A1" t="s">
        <v>43</v>
      </c>
      <c r="B1" t="s">
        <v>44</v>
      </c>
      <c r="C1" t="s">
        <v>45</v>
      </c>
      <c r="E1" t="s">
        <v>0</v>
      </c>
      <c r="F1" t="s">
        <v>46</v>
      </c>
      <c r="G1" s="1" t="s">
        <v>45</v>
      </c>
      <c r="H1" s="1" t="s">
        <v>44</v>
      </c>
    </row>
    <row r="2" spans="1:8">
      <c r="A2" t="s">
        <v>2</v>
      </c>
      <c r="B2" s="1">
        <f>SUM(Cleaned_Data!C2:C441)</f>
        <v>5280131</v>
      </c>
      <c r="C2" s="1">
        <f>AVERAGE(Cleaned_Data!C2:C441)</f>
        <v>12000.297727272728</v>
      </c>
      <c r="E2" t="s">
        <v>47</v>
      </c>
      <c r="F2">
        <f>COUNTIF(Cleaned_Data!I2:I441,E2)</f>
        <v>298</v>
      </c>
      <c r="G2" s="1">
        <f>AVERAGEIF(Cleaned_Data!I2:I441,E2,Cleaned_Data!K2:K441)</f>
        <v>26844.191275167785</v>
      </c>
      <c r="H2" s="1">
        <f>SUMIF(Cleaned_Data!I2:I441,E2,Cleaned_Data!K2:K441)</f>
        <v>7999569</v>
      </c>
    </row>
    <row r="3" spans="1:8">
      <c r="A3" t="s">
        <v>3</v>
      </c>
      <c r="B3" s="1">
        <f>SUM(Cleaned_Data!D2:D441)</f>
        <v>2550357</v>
      </c>
      <c r="C3" s="1">
        <f>AVERAGE(Cleaned_Data!D2:D441)</f>
        <v>5796.2659090909092</v>
      </c>
      <c r="E3" t="s">
        <v>48</v>
      </c>
      <c r="F3">
        <f>COUNTIF(Cleaned_Data!I2:I441,E3)</f>
        <v>142</v>
      </c>
      <c r="G3" s="1">
        <f>AVERAGEIF(Cleaned_Data!I2:I441,E3,Cleaned_Data!K2:K441)</f>
        <v>46619.232394366198</v>
      </c>
      <c r="H3" s="1">
        <f>SUMIF(Cleaned_Data!I2:I441,E3,Cleaned_Data!K2:K441)</f>
        <v>6619931</v>
      </c>
    </row>
    <row r="4" spans="1:8">
      <c r="A4" t="s">
        <v>4</v>
      </c>
      <c r="B4" s="1">
        <f>SUM(Cleaned_Data!E2:E441)</f>
        <v>3498562</v>
      </c>
      <c r="C4" s="1">
        <f>AVERAGE(Cleaned_Data!E2:E441)</f>
        <v>7951.2772727272732</v>
      </c>
    </row>
    <row r="5" spans="1:8">
      <c r="A5" t="s">
        <v>5</v>
      </c>
      <c r="B5" s="1">
        <f>SUM(Cleaned_Data!F2:F441)</f>
        <v>1351650</v>
      </c>
      <c r="C5" s="1">
        <f>AVERAGE(Cleaned_Data!F2:F441)</f>
        <v>3071.931818181818</v>
      </c>
    </row>
    <row r="6" spans="1:8">
      <c r="A6" t="s">
        <v>6</v>
      </c>
      <c r="B6" s="1">
        <f>SUM(Cleaned_Data!G2:G441)</f>
        <v>1267857</v>
      </c>
      <c r="C6" s="1">
        <f>AVERAGE(Cleaned_Data!G2:G441)</f>
        <v>2881.4931818181817</v>
      </c>
    </row>
    <row r="7" spans="1:8">
      <c r="A7" t="s">
        <v>7</v>
      </c>
      <c r="B7" s="1">
        <f>SUM(Cleaned_Data!H2:H441)</f>
        <v>670943</v>
      </c>
      <c r="C7" s="1">
        <f>AVERAGE(Cleaned_Data!H2:H441)</f>
        <v>1524.8704545454545</v>
      </c>
    </row>
    <row r="9" spans="1:8">
      <c r="A9" t="s">
        <v>49</v>
      </c>
      <c r="B9" t="str">
        <f>INDEX(A2:A7,MATCH(MAX(B2:B7),B2:B7,0))</f>
        <v>Fresh</v>
      </c>
    </row>
    <row r="10" spans="1:8">
      <c r="A10" t="s">
        <v>50</v>
      </c>
      <c r="B10" t="str">
        <f>INDEX(A2:A7,MATCH(MIN(B2:B7),B2:B7,0))</f>
        <v>Delicassen</v>
      </c>
    </row>
    <row r="13" spans="1:8">
      <c r="A13" t="s">
        <v>1</v>
      </c>
      <c r="B13" t="s">
        <v>46</v>
      </c>
      <c r="C13" s="1" t="s">
        <v>45</v>
      </c>
      <c r="D13" s="1" t="s">
        <v>44</v>
      </c>
      <c r="G13"/>
    </row>
    <row r="14" spans="1:8">
      <c r="A14" t="s">
        <v>51</v>
      </c>
      <c r="B14">
        <f>COUNTIF(Cleaned_Data!J$2:J$441,A14)</f>
        <v>77</v>
      </c>
      <c r="C14" s="1">
        <f>AVERAGEIF(Cleaned_Data!J$2:J$441,A14,Cleaned_Data!K$2:K$441)</f>
        <v>30997.571428571428</v>
      </c>
      <c r="D14" s="1">
        <f>SUMIF(Cleaned_Data!J$2:J$441,A14,Cleaned_Data!K$2:K$441)</f>
        <v>2386813</v>
      </c>
    </row>
    <row r="15" spans="1:8">
      <c r="A15" t="s">
        <v>52</v>
      </c>
      <c r="B15">
        <f>COUNTIF(Cleaned_Data!J$2:J$441,A15)</f>
        <v>47</v>
      </c>
      <c r="C15" s="1">
        <f>AVERAGEIF(Cleaned_Data!J$2:J$441,A15,Cleaned_Data!K$2:K$441)</f>
        <v>33086.978723404252</v>
      </c>
      <c r="D15" s="1">
        <f>SUMIF(Cleaned_Data!J$2:J$441,A15,Cleaned_Data!K$2:K$441)</f>
        <v>1555088</v>
      </c>
    </row>
    <row r="16" spans="1:8">
      <c r="A16" t="s">
        <v>53</v>
      </c>
      <c r="B16">
        <f>COUNTIF(Cleaned_Data!J$2:J$441,A16)</f>
        <v>316</v>
      </c>
      <c r="C16" s="1">
        <f>AVERAGEIF(Cleaned_Data!J$2:J$441,A16,Cleaned_Data!K$2:K$441)</f>
        <v>33789.870253164554</v>
      </c>
      <c r="D16" s="1">
        <f>SUMIF(Cleaned_Data!J$2:J$441,A16,Cleaned_Data!K$2:K$441)</f>
        <v>10677599</v>
      </c>
    </row>
    <row r="19" spans="1:3">
      <c r="A19" t="s">
        <v>43</v>
      </c>
      <c r="B19" s="1" t="s">
        <v>54</v>
      </c>
      <c r="C19" s="1" t="s">
        <v>55</v>
      </c>
    </row>
    <row r="20" spans="1:3">
      <c r="A20" t="s">
        <v>2</v>
      </c>
      <c r="B20" s="1">
        <f>AVERAGEIF(Cleaned_Data!$I$2:$I$441,"Horeca",Cleaned_Data!C$2:C$441)</f>
        <v>13475.560402684563</v>
      </c>
      <c r="C20" s="1">
        <f>AVERAGEIF(Cleaned_Data!$I$2:$I$441,"Retail",Cleaned_Data!C$2:C$441)</f>
        <v>8904.3239436619715</v>
      </c>
    </row>
    <row r="21" spans="1:3">
      <c r="A21" t="s">
        <v>3</v>
      </c>
      <c r="B21" s="1">
        <f>AVERAGEIF(Cleaned_Data!$I$2:$I$441,"Horeca",Cleaned_Data!D$2:D$441)</f>
        <v>3451.7248322147652</v>
      </c>
      <c r="C21" s="1">
        <f>AVERAGEIF(Cleaned_Data!$I$2:$I$441,"Retail",Cleaned_Data!D$2:D$441)</f>
        <v>10716.5</v>
      </c>
    </row>
    <row r="22" spans="1:3">
      <c r="A22" t="s">
        <v>4</v>
      </c>
      <c r="B22" s="1">
        <f>AVERAGEIF(Cleaned_Data!$I$2:$I$441,"Horeca",Cleaned_Data!E$2:E$441)</f>
        <v>3962.1375838926174</v>
      </c>
      <c r="C22" s="1">
        <f>AVERAGEIF(Cleaned_Data!$I$2:$I$441,"Retail",Cleaned_Data!E$2:E$441)</f>
        <v>16322.852112676057</v>
      </c>
    </row>
    <row r="23" spans="1:3">
      <c r="A23" t="s">
        <v>5</v>
      </c>
      <c r="B23" s="1">
        <f>AVERAGEIF(Cleaned_Data!$I$2:$I$441,"Horeca",Cleaned_Data!F$2:F$441)</f>
        <v>3748.2516778523491</v>
      </c>
      <c r="C23" s="1">
        <f>AVERAGEIF(Cleaned_Data!$I$2:$I$441,"Retail",Cleaned_Data!F$2:F$441)</f>
        <v>1652.6126760563379</v>
      </c>
    </row>
    <row r="24" spans="1:3">
      <c r="A24" t="s">
        <v>6</v>
      </c>
      <c r="B24" s="1">
        <f>AVERAGEIF(Cleaned_Data!$I$2:$I$441,"Horeca",Cleaned_Data!G$2:G$441)</f>
        <v>790.56040268456377</v>
      </c>
      <c r="C24" s="1">
        <f>AVERAGEIF(Cleaned_Data!$I$2:$I$441,"Retail",Cleaned_Data!G$2:G$441)</f>
        <v>7269.5070422535209</v>
      </c>
    </row>
    <row r="25" spans="1:3">
      <c r="A25" t="s">
        <v>7</v>
      </c>
      <c r="B25" s="1">
        <f>AVERAGEIF(Cleaned_Data!$I$2:$I$441,"Horeca",Cleaned_Data!H$2:H$441)</f>
        <v>1415.9563758389261</v>
      </c>
      <c r="C25" s="1">
        <f>AVERAGEIF(Cleaned_Data!$I$2:$I$441,"Retail",Cleaned_Data!H$2:H$441)</f>
        <v>1753.4366197183099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371E-1328-4195-BD95-CBAC52A9D042}">
  <dimension ref="A1:H41"/>
  <sheetViews>
    <sheetView tabSelected="1" topLeftCell="A33" workbookViewId="0">
      <selection activeCell="A41" sqref="A41:H41"/>
    </sheetView>
  </sheetViews>
  <sheetFormatPr defaultRowHeight="15"/>
  <cols>
    <col min="2" max="2" width="15.85546875" customWidth="1"/>
    <col min="3" max="3" width="12.5703125" bestFit="1" customWidth="1"/>
    <col min="4" max="4" width="12" customWidth="1"/>
    <col min="6" max="6" width="25.5703125" customWidth="1"/>
    <col min="8" max="8" width="23.140625" customWidth="1"/>
  </cols>
  <sheetData>
    <row r="1" spans="1:8">
      <c r="A1" s="19" t="s">
        <v>56</v>
      </c>
      <c r="B1" s="19"/>
      <c r="C1" s="19"/>
      <c r="D1" s="19"/>
      <c r="E1" s="19"/>
      <c r="F1" s="19"/>
      <c r="G1" s="19"/>
      <c r="H1" s="19"/>
    </row>
    <row r="2" spans="1:8">
      <c r="A2" s="12"/>
      <c r="B2" s="14"/>
      <c r="C2" s="13"/>
      <c r="D2" s="12"/>
      <c r="E2" s="6"/>
      <c r="F2" s="6"/>
      <c r="G2" s="5"/>
      <c r="H2" s="7"/>
    </row>
    <row r="3" spans="1:8">
      <c r="A3" s="20" t="s">
        <v>57</v>
      </c>
      <c r="B3" s="21"/>
      <c r="C3" s="24" t="s">
        <v>58</v>
      </c>
      <c r="D3" s="24"/>
      <c r="E3" s="26" t="s">
        <v>59</v>
      </c>
      <c r="F3" s="27"/>
      <c r="G3" s="30" t="s">
        <v>60</v>
      </c>
      <c r="H3" s="31"/>
    </row>
    <row r="4" spans="1:8">
      <c r="A4" s="22">
        <f>COUNTA(Cleaned_Data!A2:A441)</f>
        <v>440</v>
      </c>
      <c r="B4" s="23"/>
      <c r="C4" s="25">
        <f>SUM(Cleaned_Data!K2:K441)</f>
        <v>14619500</v>
      </c>
      <c r="D4" s="25"/>
      <c r="E4" s="28">
        <f>AVERAGE(Cleaned_Data!K2:K441)</f>
        <v>33226.13636363636</v>
      </c>
      <c r="F4" s="29"/>
      <c r="G4" s="32" t="str">
        <f>Analysis!B9</f>
        <v>Fresh</v>
      </c>
      <c r="H4" s="33"/>
    </row>
    <row r="5" spans="1:8">
      <c r="A5" s="15"/>
      <c r="B5" s="14"/>
      <c r="C5" s="13"/>
      <c r="D5" s="13"/>
      <c r="E5" s="9"/>
      <c r="F5" s="10"/>
      <c r="G5" s="10"/>
      <c r="H5" s="16"/>
    </row>
    <row r="6" spans="1:8">
      <c r="F6" s="8"/>
      <c r="G6" s="11"/>
      <c r="H6" s="9"/>
    </row>
    <row r="9" spans="1:8">
      <c r="C9" s="17"/>
    </row>
    <row r="38" spans="1:8">
      <c r="A38" s="18" t="s">
        <v>61</v>
      </c>
      <c r="B38" s="18"/>
      <c r="C38" s="18"/>
      <c r="D38" s="18"/>
      <c r="E38" s="18"/>
      <c r="F38" s="18"/>
      <c r="G38" s="18"/>
      <c r="H38" s="18"/>
    </row>
    <row r="39" spans="1:8">
      <c r="A39" s="18" t="s">
        <v>62</v>
      </c>
      <c r="B39" s="18"/>
      <c r="C39" s="18"/>
      <c r="D39" s="18"/>
      <c r="E39" s="18"/>
      <c r="F39" s="18"/>
      <c r="G39" s="18"/>
      <c r="H39" s="18"/>
    </row>
    <row r="40" spans="1:8">
      <c r="A40" s="18" t="s">
        <v>63</v>
      </c>
      <c r="B40" s="18"/>
      <c r="C40" s="18"/>
      <c r="D40" s="18"/>
      <c r="E40" s="18"/>
      <c r="F40" s="18"/>
      <c r="G40" s="18"/>
      <c r="H40" s="18"/>
    </row>
    <row r="41" spans="1:8">
      <c r="A41" s="18" t="s">
        <v>64</v>
      </c>
      <c r="B41" s="18"/>
      <c r="C41" s="18"/>
      <c r="D41" s="18"/>
      <c r="E41" s="18"/>
      <c r="F41" s="18"/>
      <c r="G41" s="18"/>
      <c r="H41" s="18"/>
    </row>
  </sheetData>
  <mergeCells count="13">
    <mergeCell ref="A38:H38"/>
    <mergeCell ref="A39:H39"/>
    <mergeCell ref="A40:H40"/>
    <mergeCell ref="A41:H41"/>
    <mergeCell ref="A1:H1"/>
    <mergeCell ref="A3:B3"/>
    <mergeCell ref="A4:B4"/>
    <mergeCell ref="C3:D3"/>
    <mergeCell ref="C4:D4"/>
    <mergeCell ref="E3:F3"/>
    <mergeCell ref="E4:F4"/>
    <mergeCell ref="G3:H3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2026-10-26T12:51:28Z</dcterms:created>
  <dcterms:modified xsi:type="dcterms:W3CDTF">2026-10-26T15:32:37Z</dcterms:modified>
  <cp:category/>
  <cp:contentStatus/>
</cp:coreProperties>
</file>